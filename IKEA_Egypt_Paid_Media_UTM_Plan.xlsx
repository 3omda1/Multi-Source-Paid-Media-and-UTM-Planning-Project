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Nopel Work\Nopel Career\DEPI-R5\Graduation Project\"/>
    </mc:Choice>
  </mc:AlternateContent>
  <xr:revisionPtr revIDLastSave="0" documentId="13_ncr:1_{CE754A29-7CE2-4917-BFA6-0DA52677216C}" xr6:coauthVersionLast="47" xr6:coauthVersionMax="47" xr10:uidLastSave="{00000000-0000-0000-0000-000000000000}"/>
  <bookViews>
    <workbookView xWindow="-28920" yWindow="-120" windowWidth="29040" windowHeight="15720" tabRatio="836" activeTab="12" xr2:uid="{00000000-000D-0000-FFFF-FFFF00000000}"/>
  </bookViews>
  <sheets>
    <sheet name="Cover" sheetId="1" r:id="rId1"/>
    <sheet name="Inputs" sheetId="2" r:id="rId2"/>
    <sheet name="Funnel &amp; Audiences" sheetId="3" r:id="rId3"/>
    <sheet name="Audience &amp; Retargeting" sheetId="4" r:id="rId4"/>
    <sheet name="Media Plan" sheetId="5" r:id="rId5"/>
    <sheet name="Budget Split" sheetId="6" r:id="rId6"/>
    <sheet name="Creative Testing" sheetId="7" r:id="rId7"/>
    <sheet name="UTM Builder" sheetId="8" r:id="rId8"/>
    <sheet name="Tracking Plan" sheetId="9" r:id="rId9"/>
    <sheet name="Attribution" sheetId="10" r:id="rId10"/>
    <sheet name="Sample Data" sheetId="11" r:id="rId11"/>
    <sheet name="Dashboard" sheetId="12" r:id="rId12"/>
    <sheet name="Optimization" sheetId="13" r:id="rId13"/>
  </sheets>
  <definedNames>
    <definedName name="_xlnm._FilterDatabase" localSheetId="10" hidden="1">'Sample Data'!$A$4:$R$244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5" i="10" l="1"/>
  <c r="B11" i="2"/>
  <c r="D25" i="13"/>
  <c r="E30" i="13" s="1"/>
  <c r="F24" i="13"/>
  <c r="C24" i="13"/>
  <c r="E24" i="13" s="1"/>
  <c r="B24" i="13"/>
  <c r="A24" i="13"/>
  <c r="F23" i="13"/>
  <c r="C23" i="13"/>
  <c r="E23" i="13" s="1"/>
  <c r="B23" i="13"/>
  <c r="A23" i="13"/>
  <c r="F22" i="13"/>
  <c r="G22" i="13" s="1"/>
  <c r="E22" i="13"/>
  <c r="C22" i="13"/>
  <c r="B22" i="13"/>
  <c r="A22" i="13"/>
  <c r="G21" i="13"/>
  <c r="F21" i="13"/>
  <c r="E21" i="13"/>
  <c r="C21" i="13"/>
  <c r="B21" i="13"/>
  <c r="A21" i="13"/>
  <c r="F20" i="13"/>
  <c r="C20" i="13"/>
  <c r="E20" i="13" s="1"/>
  <c r="B20" i="13"/>
  <c r="A20" i="13"/>
  <c r="F19" i="13"/>
  <c r="G19" i="13" s="1"/>
  <c r="E19" i="13"/>
  <c r="C19" i="13"/>
  <c r="B19" i="13"/>
  <c r="A19" i="13"/>
  <c r="F18" i="13"/>
  <c r="F25" i="13" s="1"/>
  <c r="E18" i="13"/>
  <c r="C18" i="13"/>
  <c r="B18" i="13"/>
  <c r="A18" i="13"/>
  <c r="G17" i="13"/>
  <c r="F17" i="13"/>
  <c r="E17" i="13"/>
  <c r="C17" i="13"/>
  <c r="C25" i="13" s="1"/>
  <c r="B17" i="13"/>
  <c r="A17" i="13"/>
  <c r="B28" i="12"/>
  <c r="B27" i="12"/>
  <c r="B26" i="12"/>
  <c r="B25" i="12"/>
  <c r="B24" i="12"/>
  <c r="B23" i="12"/>
  <c r="B22" i="12"/>
  <c r="B21" i="12"/>
  <c r="C16" i="12"/>
  <c r="B16" i="12"/>
  <c r="A16" i="12"/>
  <c r="S15" i="12"/>
  <c r="I15" i="12"/>
  <c r="G15" i="12"/>
  <c r="E15" i="12"/>
  <c r="N15" i="12" s="1"/>
  <c r="C15" i="12"/>
  <c r="B15" i="12"/>
  <c r="A15" i="12"/>
  <c r="A27" i="12" s="1"/>
  <c r="S14" i="12"/>
  <c r="I14" i="12"/>
  <c r="G14" i="12"/>
  <c r="E14" i="12"/>
  <c r="N14" i="12" s="1"/>
  <c r="C14" i="12"/>
  <c r="B14" i="12"/>
  <c r="A14" i="12"/>
  <c r="J14" i="12" s="1"/>
  <c r="O14" i="12" s="1"/>
  <c r="S13" i="12"/>
  <c r="G13" i="12"/>
  <c r="E13" i="12"/>
  <c r="C13" i="12"/>
  <c r="B13" i="12"/>
  <c r="A13" i="12"/>
  <c r="J13" i="12" s="1"/>
  <c r="O13" i="12" s="1"/>
  <c r="E12" i="12"/>
  <c r="C12" i="12"/>
  <c r="B12" i="12"/>
  <c r="A12" i="12"/>
  <c r="J12" i="12" s="1"/>
  <c r="O12" i="12" s="1"/>
  <c r="C11" i="12"/>
  <c r="B11" i="12"/>
  <c r="A11" i="12"/>
  <c r="C10" i="12"/>
  <c r="B10" i="12"/>
  <c r="A10" i="12"/>
  <c r="S9" i="12"/>
  <c r="I9" i="12"/>
  <c r="G9" i="12"/>
  <c r="E9" i="12"/>
  <c r="C9" i="12"/>
  <c r="B9" i="12"/>
  <c r="A9" i="12"/>
  <c r="A21" i="12" s="1"/>
  <c r="G5" i="12"/>
  <c r="C5" i="12"/>
  <c r="B5" i="12"/>
  <c r="F5" i="12" s="1"/>
  <c r="A5" i="12"/>
  <c r="E5" i="12" s="1"/>
  <c r="R244" i="11"/>
  <c r="Q244" i="11"/>
  <c r="P244" i="11"/>
  <c r="O244" i="11"/>
  <c r="N244" i="11"/>
  <c r="M244" i="11"/>
  <c r="F244" i="11"/>
  <c r="E244" i="11"/>
  <c r="C244" i="11"/>
  <c r="R243" i="11"/>
  <c r="Q243" i="11"/>
  <c r="P243" i="11"/>
  <c r="O243" i="11"/>
  <c r="N243" i="11"/>
  <c r="M243" i="11"/>
  <c r="F243" i="11"/>
  <c r="E243" i="11"/>
  <c r="C243" i="11"/>
  <c r="R242" i="11"/>
  <c r="Q242" i="11"/>
  <c r="P242" i="11"/>
  <c r="O242" i="11"/>
  <c r="N242" i="11"/>
  <c r="M242" i="11"/>
  <c r="F242" i="11"/>
  <c r="E242" i="11"/>
  <c r="C242" i="11"/>
  <c r="R241" i="11"/>
  <c r="Q241" i="11"/>
  <c r="P241" i="11"/>
  <c r="O241" i="11"/>
  <c r="N241" i="11"/>
  <c r="M241" i="11"/>
  <c r="F241" i="11"/>
  <c r="E241" i="11"/>
  <c r="C241" i="11"/>
  <c r="R240" i="11"/>
  <c r="Q240" i="11"/>
  <c r="P240" i="11"/>
  <c r="O240" i="11"/>
  <c r="N240" i="11"/>
  <c r="M240" i="11"/>
  <c r="F240" i="11"/>
  <c r="E240" i="11"/>
  <c r="C240" i="11"/>
  <c r="R239" i="11"/>
  <c r="Q239" i="11"/>
  <c r="P239" i="11"/>
  <c r="O239" i="11"/>
  <c r="N239" i="11"/>
  <c r="M239" i="11"/>
  <c r="F239" i="11"/>
  <c r="E239" i="11"/>
  <c r="C239" i="11"/>
  <c r="R238" i="11"/>
  <c r="Q238" i="11"/>
  <c r="P238" i="11"/>
  <c r="O238" i="11"/>
  <c r="N238" i="11"/>
  <c r="M238" i="11"/>
  <c r="F238" i="11"/>
  <c r="E238" i="11"/>
  <c r="C238" i="11"/>
  <c r="R237" i="11"/>
  <c r="Q237" i="11"/>
  <c r="P237" i="11"/>
  <c r="O237" i="11"/>
  <c r="N237" i="11"/>
  <c r="M237" i="11"/>
  <c r="F237" i="11"/>
  <c r="E237" i="11"/>
  <c r="C237" i="11"/>
  <c r="R236" i="11"/>
  <c r="Q236" i="11"/>
  <c r="P236" i="11"/>
  <c r="O236" i="11"/>
  <c r="N236" i="11"/>
  <c r="M236" i="11"/>
  <c r="F236" i="11"/>
  <c r="E236" i="11"/>
  <c r="C236" i="11"/>
  <c r="R235" i="11"/>
  <c r="Q235" i="11"/>
  <c r="P235" i="11"/>
  <c r="O235" i="11"/>
  <c r="N235" i="11"/>
  <c r="M235" i="11"/>
  <c r="F235" i="11"/>
  <c r="E235" i="11"/>
  <c r="C235" i="11"/>
  <c r="R234" i="11"/>
  <c r="Q234" i="11"/>
  <c r="P234" i="11"/>
  <c r="O234" i="11"/>
  <c r="N234" i="11"/>
  <c r="M234" i="11"/>
  <c r="F234" i="11"/>
  <c r="E234" i="11"/>
  <c r="C234" i="11"/>
  <c r="R233" i="11"/>
  <c r="Q233" i="11"/>
  <c r="P233" i="11"/>
  <c r="O233" i="11"/>
  <c r="N233" i="11"/>
  <c r="M233" i="11"/>
  <c r="F233" i="11"/>
  <c r="E233" i="11"/>
  <c r="C233" i="11"/>
  <c r="R232" i="11"/>
  <c r="Q232" i="11"/>
  <c r="P232" i="11"/>
  <c r="O232" i="11"/>
  <c r="N232" i="11"/>
  <c r="M232" i="11"/>
  <c r="F232" i="11"/>
  <c r="E232" i="11"/>
  <c r="C232" i="11"/>
  <c r="R231" i="11"/>
  <c r="Q231" i="11"/>
  <c r="P231" i="11"/>
  <c r="O231" i="11"/>
  <c r="N231" i="11"/>
  <c r="M231" i="11"/>
  <c r="F231" i="11"/>
  <c r="E231" i="11"/>
  <c r="C231" i="11"/>
  <c r="R230" i="11"/>
  <c r="Q230" i="11"/>
  <c r="P230" i="11"/>
  <c r="O230" i="11"/>
  <c r="N230" i="11"/>
  <c r="M230" i="11"/>
  <c r="F230" i="11"/>
  <c r="E230" i="11"/>
  <c r="C230" i="11"/>
  <c r="R229" i="11"/>
  <c r="Q229" i="11"/>
  <c r="P229" i="11"/>
  <c r="O229" i="11"/>
  <c r="N229" i="11"/>
  <c r="M229" i="11"/>
  <c r="F229" i="11"/>
  <c r="E229" i="11"/>
  <c r="C229" i="11"/>
  <c r="R228" i="11"/>
  <c r="Q228" i="11"/>
  <c r="P228" i="11"/>
  <c r="O228" i="11"/>
  <c r="N228" i="11"/>
  <c r="M228" i="11"/>
  <c r="F228" i="11"/>
  <c r="E228" i="11"/>
  <c r="C228" i="11"/>
  <c r="R227" i="11"/>
  <c r="Q227" i="11"/>
  <c r="P227" i="11"/>
  <c r="O227" i="11"/>
  <c r="N227" i="11"/>
  <c r="M227" i="11"/>
  <c r="F227" i="11"/>
  <c r="E227" i="11"/>
  <c r="C227" i="11"/>
  <c r="R226" i="11"/>
  <c r="Q226" i="11"/>
  <c r="P226" i="11"/>
  <c r="O226" i="11"/>
  <c r="N226" i="11"/>
  <c r="M226" i="11"/>
  <c r="F226" i="11"/>
  <c r="E226" i="11"/>
  <c r="C226" i="11"/>
  <c r="R225" i="11"/>
  <c r="Q225" i="11"/>
  <c r="P225" i="11"/>
  <c r="O225" i="11"/>
  <c r="N225" i="11"/>
  <c r="M225" i="11"/>
  <c r="F225" i="11"/>
  <c r="E225" i="11"/>
  <c r="C225" i="11"/>
  <c r="R224" i="11"/>
  <c r="Q224" i="11"/>
  <c r="P224" i="11"/>
  <c r="O224" i="11"/>
  <c r="N224" i="11"/>
  <c r="M224" i="11"/>
  <c r="F224" i="11"/>
  <c r="E224" i="11"/>
  <c r="C224" i="11"/>
  <c r="R223" i="11"/>
  <c r="Q223" i="11"/>
  <c r="P223" i="11"/>
  <c r="O223" i="11"/>
  <c r="N223" i="11"/>
  <c r="M223" i="11"/>
  <c r="F223" i="11"/>
  <c r="E223" i="11"/>
  <c r="C223" i="11"/>
  <c r="R222" i="11"/>
  <c r="Q222" i="11"/>
  <c r="P222" i="11"/>
  <c r="O222" i="11"/>
  <c r="N222" i="11"/>
  <c r="M222" i="11"/>
  <c r="F222" i="11"/>
  <c r="E222" i="11"/>
  <c r="C222" i="11"/>
  <c r="R221" i="11"/>
  <c r="Q221" i="11"/>
  <c r="P221" i="11"/>
  <c r="O221" i="11"/>
  <c r="N221" i="11"/>
  <c r="M221" i="11"/>
  <c r="F221" i="11"/>
  <c r="E221" i="11"/>
  <c r="C221" i="11"/>
  <c r="R220" i="11"/>
  <c r="Q220" i="11"/>
  <c r="P220" i="11"/>
  <c r="O220" i="11"/>
  <c r="N220" i="11"/>
  <c r="M220" i="11"/>
  <c r="F220" i="11"/>
  <c r="E220" i="11"/>
  <c r="C220" i="11"/>
  <c r="R219" i="11"/>
  <c r="Q219" i="11"/>
  <c r="P219" i="11"/>
  <c r="O219" i="11"/>
  <c r="N219" i="11"/>
  <c r="M219" i="11"/>
  <c r="F219" i="11"/>
  <c r="E219" i="11"/>
  <c r="C219" i="11"/>
  <c r="R218" i="11"/>
  <c r="Q218" i="11"/>
  <c r="P218" i="11"/>
  <c r="O218" i="11"/>
  <c r="N218" i="11"/>
  <c r="M218" i="11"/>
  <c r="F218" i="11"/>
  <c r="E218" i="11"/>
  <c r="C218" i="11"/>
  <c r="R217" i="11"/>
  <c r="Q217" i="11"/>
  <c r="P217" i="11"/>
  <c r="O217" i="11"/>
  <c r="N217" i="11"/>
  <c r="M217" i="11"/>
  <c r="F217" i="11"/>
  <c r="E217" i="11"/>
  <c r="C217" i="11"/>
  <c r="R216" i="11"/>
  <c r="Q216" i="11"/>
  <c r="P216" i="11"/>
  <c r="O216" i="11"/>
  <c r="N216" i="11"/>
  <c r="M216" i="11"/>
  <c r="F216" i="11"/>
  <c r="E216" i="11"/>
  <c r="C216" i="11"/>
  <c r="R215" i="11"/>
  <c r="Q215" i="11"/>
  <c r="P215" i="11"/>
  <c r="O215" i="11"/>
  <c r="N215" i="11"/>
  <c r="M215" i="11"/>
  <c r="F215" i="11"/>
  <c r="E215" i="11"/>
  <c r="C215" i="11"/>
  <c r="R214" i="11"/>
  <c r="Q214" i="11"/>
  <c r="P214" i="11"/>
  <c r="O214" i="11"/>
  <c r="N214" i="11"/>
  <c r="M214" i="11"/>
  <c r="F214" i="11"/>
  <c r="E214" i="11"/>
  <c r="C214" i="11"/>
  <c r="R213" i="11"/>
  <c r="Q213" i="11"/>
  <c r="P213" i="11"/>
  <c r="O213" i="11"/>
  <c r="N213" i="11"/>
  <c r="M213" i="11"/>
  <c r="F213" i="11"/>
  <c r="E213" i="11"/>
  <c r="C213" i="11"/>
  <c r="R212" i="11"/>
  <c r="Q212" i="11"/>
  <c r="P212" i="11"/>
  <c r="O212" i="11"/>
  <c r="N212" i="11"/>
  <c r="M212" i="11"/>
  <c r="F212" i="11"/>
  <c r="E212" i="11"/>
  <c r="C212" i="11"/>
  <c r="R211" i="11"/>
  <c r="Q211" i="11"/>
  <c r="P211" i="11"/>
  <c r="O211" i="11"/>
  <c r="N211" i="11"/>
  <c r="M211" i="11"/>
  <c r="F211" i="11"/>
  <c r="E211" i="11"/>
  <c r="C211" i="11"/>
  <c r="R210" i="11"/>
  <c r="Q210" i="11"/>
  <c r="P210" i="11"/>
  <c r="O210" i="11"/>
  <c r="N210" i="11"/>
  <c r="M210" i="11"/>
  <c r="F210" i="11"/>
  <c r="E210" i="11"/>
  <c r="C210" i="11"/>
  <c r="R209" i="11"/>
  <c r="Q209" i="11"/>
  <c r="P209" i="11"/>
  <c r="O209" i="11"/>
  <c r="N209" i="11"/>
  <c r="M209" i="11"/>
  <c r="F209" i="11"/>
  <c r="E209" i="11"/>
  <c r="C209" i="11"/>
  <c r="R208" i="11"/>
  <c r="Q208" i="11"/>
  <c r="P208" i="11"/>
  <c r="O208" i="11"/>
  <c r="N208" i="11"/>
  <c r="M208" i="11"/>
  <c r="F208" i="11"/>
  <c r="E208" i="11"/>
  <c r="C208" i="11"/>
  <c r="R207" i="11"/>
  <c r="Q207" i="11"/>
  <c r="P207" i="11"/>
  <c r="O207" i="11"/>
  <c r="N207" i="11"/>
  <c r="M207" i="11"/>
  <c r="F207" i="11"/>
  <c r="E207" i="11"/>
  <c r="C207" i="11"/>
  <c r="R206" i="11"/>
  <c r="Q206" i="11"/>
  <c r="P206" i="11"/>
  <c r="O206" i="11"/>
  <c r="N206" i="11"/>
  <c r="M206" i="11"/>
  <c r="F206" i="11"/>
  <c r="E206" i="11"/>
  <c r="C206" i="11"/>
  <c r="R205" i="11"/>
  <c r="Q205" i="11"/>
  <c r="P205" i="11"/>
  <c r="O205" i="11"/>
  <c r="N205" i="11"/>
  <c r="M205" i="11"/>
  <c r="F205" i="11"/>
  <c r="E205" i="11"/>
  <c r="C205" i="11"/>
  <c r="R204" i="11"/>
  <c r="Q204" i="11"/>
  <c r="P204" i="11"/>
  <c r="O204" i="11"/>
  <c r="N204" i="11"/>
  <c r="M204" i="11"/>
  <c r="F204" i="11"/>
  <c r="E204" i="11"/>
  <c r="C204" i="11"/>
  <c r="R203" i="11"/>
  <c r="Q203" i="11"/>
  <c r="P203" i="11"/>
  <c r="O203" i="11"/>
  <c r="N203" i="11"/>
  <c r="M203" i="11"/>
  <c r="F203" i="11"/>
  <c r="E203" i="11"/>
  <c r="C203" i="11"/>
  <c r="R202" i="11"/>
  <c r="Q202" i="11"/>
  <c r="P202" i="11"/>
  <c r="O202" i="11"/>
  <c r="N202" i="11"/>
  <c r="M202" i="11"/>
  <c r="F202" i="11"/>
  <c r="E202" i="11"/>
  <c r="C202" i="11"/>
  <c r="R201" i="11"/>
  <c r="Q201" i="11"/>
  <c r="P201" i="11"/>
  <c r="O201" i="11"/>
  <c r="N201" i="11"/>
  <c r="M201" i="11"/>
  <c r="F201" i="11"/>
  <c r="E201" i="11"/>
  <c r="C201" i="11"/>
  <c r="R200" i="11"/>
  <c r="Q200" i="11"/>
  <c r="P200" i="11"/>
  <c r="O200" i="11"/>
  <c r="N200" i="11"/>
  <c r="M200" i="11"/>
  <c r="F200" i="11"/>
  <c r="E200" i="11"/>
  <c r="C200" i="11"/>
  <c r="R199" i="11"/>
  <c r="Q199" i="11"/>
  <c r="P199" i="11"/>
  <c r="O199" i="11"/>
  <c r="N199" i="11"/>
  <c r="M199" i="11"/>
  <c r="F199" i="11"/>
  <c r="E199" i="11"/>
  <c r="C199" i="11"/>
  <c r="R198" i="11"/>
  <c r="Q198" i="11"/>
  <c r="P198" i="11"/>
  <c r="O198" i="11"/>
  <c r="N198" i="11"/>
  <c r="M198" i="11"/>
  <c r="F198" i="11"/>
  <c r="E198" i="11"/>
  <c r="C198" i="11"/>
  <c r="R197" i="11"/>
  <c r="Q197" i="11"/>
  <c r="P197" i="11"/>
  <c r="O197" i="11"/>
  <c r="N197" i="11"/>
  <c r="M197" i="11"/>
  <c r="F197" i="11"/>
  <c r="E197" i="11"/>
  <c r="C197" i="11"/>
  <c r="R196" i="11"/>
  <c r="Q196" i="11"/>
  <c r="P196" i="11"/>
  <c r="O196" i="11"/>
  <c r="N196" i="11"/>
  <c r="M196" i="11"/>
  <c r="F196" i="11"/>
  <c r="E196" i="11"/>
  <c r="C196" i="11"/>
  <c r="R195" i="11"/>
  <c r="Q195" i="11"/>
  <c r="P195" i="11"/>
  <c r="O195" i="11"/>
  <c r="N195" i="11"/>
  <c r="M195" i="11"/>
  <c r="F195" i="11"/>
  <c r="E195" i="11"/>
  <c r="C195" i="11"/>
  <c r="R194" i="11"/>
  <c r="Q194" i="11"/>
  <c r="P194" i="11"/>
  <c r="O194" i="11"/>
  <c r="N194" i="11"/>
  <c r="M194" i="11"/>
  <c r="F194" i="11"/>
  <c r="E194" i="11"/>
  <c r="C194" i="11"/>
  <c r="R193" i="11"/>
  <c r="Q193" i="11"/>
  <c r="P193" i="11"/>
  <c r="O193" i="11"/>
  <c r="N193" i="11"/>
  <c r="M193" i="11"/>
  <c r="F193" i="11"/>
  <c r="E193" i="11"/>
  <c r="C193" i="11"/>
  <c r="R192" i="11"/>
  <c r="Q192" i="11"/>
  <c r="P192" i="11"/>
  <c r="O192" i="11"/>
  <c r="N192" i="11"/>
  <c r="M192" i="11"/>
  <c r="F192" i="11"/>
  <c r="E192" i="11"/>
  <c r="C192" i="11"/>
  <c r="R191" i="11"/>
  <c r="Q191" i="11"/>
  <c r="P191" i="11"/>
  <c r="O191" i="11"/>
  <c r="N191" i="11"/>
  <c r="M191" i="11"/>
  <c r="F191" i="11"/>
  <c r="E191" i="11"/>
  <c r="C191" i="11"/>
  <c r="R190" i="11"/>
  <c r="Q190" i="11"/>
  <c r="P190" i="11"/>
  <c r="O190" i="11"/>
  <c r="N190" i="11"/>
  <c r="M190" i="11"/>
  <c r="F190" i="11"/>
  <c r="E190" i="11"/>
  <c r="C190" i="11"/>
  <c r="R189" i="11"/>
  <c r="Q189" i="11"/>
  <c r="P189" i="11"/>
  <c r="O189" i="11"/>
  <c r="N189" i="11"/>
  <c r="M189" i="11"/>
  <c r="F189" i="11"/>
  <c r="E189" i="11"/>
  <c r="C189" i="11"/>
  <c r="R188" i="11"/>
  <c r="Q188" i="11"/>
  <c r="P188" i="11"/>
  <c r="O188" i="11"/>
  <c r="N188" i="11"/>
  <c r="M188" i="11"/>
  <c r="F188" i="11"/>
  <c r="E188" i="11"/>
  <c r="C188" i="11"/>
  <c r="R187" i="11"/>
  <c r="Q187" i="11"/>
  <c r="P187" i="11"/>
  <c r="O187" i="11"/>
  <c r="N187" i="11"/>
  <c r="M187" i="11"/>
  <c r="F187" i="11"/>
  <c r="E187" i="11"/>
  <c r="C187" i="11"/>
  <c r="R186" i="11"/>
  <c r="Q186" i="11"/>
  <c r="P186" i="11"/>
  <c r="O186" i="11"/>
  <c r="N186" i="11"/>
  <c r="M186" i="11"/>
  <c r="F186" i="11"/>
  <c r="E186" i="11"/>
  <c r="C186" i="11"/>
  <c r="R185" i="11"/>
  <c r="Q185" i="11"/>
  <c r="P185" i="11"/>
  <c r="O185" i="11"/>
  <c r="N185" i="11"/>
  <c r="M185" i="11"/>
  <c r="F185" i="11"/>
  <c r="E185" i="11"/>
  <c r="C185" i="11"/>
  <c r="R184" i="11"/>
  <c r="Q184" i="11"/>
  <c r="P184" i="11"/>
  <c r="O184" i="11"/>
  <c r="N184" i="11"/>
  <c r="M184" i="11"/>
  <c r="F184" i="11"/>
  <c r="E184" i="11"/>
  <c r="C184" i="11"/>
  <c r="R183" i="11"/>
  <c r="Q183" i="11"/>
  <c r="P183" i="11"/>
  <c r="O183" i="11"/>
  <c r="N183" i="11"/>
  <c r="M183" i="11"/>
  <c r="F183" i="11"/>
  <c r="E183" i="11"/>
  <c r="C183" i="11"/>
  <c r="R182" i="11"/>
  <c r="Q182" i="11"/>
  <c r="P182" i="11"/>
  <c r="O182" i="11"/>
  <c r="N182" i="11"/>
  <c r="M182" i="11"/>
  <c r="F182" i="11"/>
  <c r="E182" i="11"/>
  <c r="C182" i="11"/>
  <c r="R181" i="11"/>
  <c r="Q181" i="11"/>
  <c r="P181" i="11"/>
  <c r="O181" i="11"/>
  <c r="N181" i="11"/>
  <c r="M181" i="11"/>
  <c r="F181" i="11"/>
  <c r="E181" i="11"/>
  <c r="C181" i="11"/>
  <c r="R180" i="11"/>
  <c r="Q180" i="11"/>
  <c r="P180" i="11"/>
  <c r="O180" i="11"/>
  <c r="N180" i="11"/>
  <c r="M180" i="11"/>
  <c r="F180" i="11"/>
  <c r="E180" i="11"/>
  <c r="C180" i="11"/>
  <c r="R179" i="11"/>
  <c r="Q179" i="11"/>
  <c r="P179" i="11"/>
  <c r="O179" i="11"/>
  <c r="N179" i="11"/>
  <c r="M179" i="11"/>
  <c r="F179" i="11"/>
  <c r="E179" i="11"/>
  <c r="C179" i="11"/>
  <c r="R178" i="11"/>
  <c r="Q178" i="11"/>
  <c r="P178" i="11"/>
  <c r="O178" i="11"/>
  <c r="N178" i="11"/>
  <c r="M178" i="11"/>
  <c r="F178" i="11"/>
  <c r="E178" i="11"/>
  <c r="C178" i="11"/>
  <c r="R177" i="11"/>
  <c r="Q177" i="11"/>
  <c r="P177" i="11"/>
  <c r="O177" i="11"/>
  <c r="N177" i="11"/>
  <c r="M177" i="11"/>
  <c r="F177" i="11"/>
  <c r="E177" i="11"/>
  <c r="C177" i="11"/>
  <c r="R176" i="11"/>
  <c r="Q176" i="11"/>
  <c r="P176" i="11"/>
  <c r="O176" i="11"/>
  <c r="N176" i="11"/>
  <c r="M176" i="11"/>
  <c r="F176" i="11"/>
  <c r="E176" i="11"/>
  <c r="C176" i="11"/>
  <c r="R175" i="11"/>
  <c r="Q175" i="11"/>
  <c r="P175" i="11"/>
  <c r="O175" i="11"/>
  <c r="N175" i="11"/>
  <c r="M175" i="11"/>
  <c r="F175" i="11"/>
  <c r="E175" i="11"/>
  <c r="C175" i="11"/>
  <c r="R174" i="11"/>
  <c r="Q174" i="11"/>
  <c r="P174" i="11"/>
  <c r="O174" i="11"/>
  <c r="N174" i="11"/>
  <c r="M174" i="11"/>
  <c r="F174" i="11"/>
  <c r="E174" i="11"/>
  <c r="C174" i="11"/>
  <c r="R173" i="11"/>
  <c r="Q173" i="11"/>
  <c r="P173" i="11"/>
  <c r="O173" i="11"/>
  <c r="N173" i="11"/>
  <c r="M173" i="11"/>
  <c r="F173" i="11"/>
  <c r="E173" i="11"/>
  <c r="C173" i="11"/>
  <c r="R172" i="11"/>
  <c r="Q172" i="11"/>
  <c r="P172" i="11"/>
  <c r="O172" i="11"/>
  <c r="N172" i="11"/>
  <c r="M172" i="11"/>
  <c r="F172" i="11"/>
  <c r="E172" i="11"/>
  <c r="C172" i="11"/>
  <c r="R171" i="11"/>
  <c r="Q171" i="11"/>
  <c r="P171" i="11"/>
  <c r="O171" i="11"/>
  <c r="N171" i="11"/>
  <c r="M171" i="11"/>
  <c r="F171" i="11"/>
  <c r="E171" i="11"/>
  <c r="C171" i="11"/>
  <c r="R170" i="11"/>
  <c r="Q170" i="11"/>
  <c r="P170" i="11"/>
  <c r="O170" i="11"/>
  <c r="N170" i="11"/>
  <c r="M170" i="11"/>
  <c r="F170" i="11"/>
  <c r="E170" i="11"/>
  <c r="C170" i="11"/>
  <c r="R169" i="11"/>
  <c r="Q169" i="11"/>
  <c r="P169" i="11"/>
  <c r="O169" i="11"/>
  <c r="N169" i="11"/>
  <c r="M169" i="11"/>
  <c r="F169" i="11"/>
  <c r="E169" i="11"/>
  <c r="C169" i="11"/>
  <c r="R168" i="11"/>
  <c r="Q168" i="11"/>
  <c r="P168" i="11"/>
  <c r="O168" i="11"/>
  <c r="N168" i="11"/>
  <c r="M168" i="11"/>
  <c r="F168" i="11"/>
  <c r="E168" i="11"/>
  <c r="C168" i="11"/>
  <c r="R167" i="11"/>
  <c r="Q167" i="11"/>
  <c r="P167" i="11"/>
  <c r="O167" i="11"/>
  <c r="N167" i="11"/>
  <c r="M167" i="11"/>
  <c r="F167" i="11"/>
  <c r="E167" i="11"/>
  <c r="C167" i="11"/>
  <c r="R166" i="11"/>
  <c r="Q166" i="11"/>
  <c r="P166" i="11"/>
  <c r="O166" i="11"/>
  <c r="N166" i="11"/>
  <c r="M166" i="11"/>
  <c r="F166" i="11"/>
  <c r="E166" i="11"/>
  <c r="C166" i="11"/>
  <c r="R165" i="11"/>
  <c r="Q165" i="11"/>
  <c r="P165" i="11"/>
  <c r="O165" i="11"/>
  <c r="N165" i="11"/>
  <c r="M165" i="11"/>
  <c r="F165" i="11"/>
  <c r="E165" i="11"/>
  <c r="C165" i="11"/>
  <c r="R164" i="11"/>
  <c r="Q164" i="11"/>
  <c r="P164" i="11"/>
  <c r="O164" i="11"/>
  <c r="N164" i="11"/>
  <c r="M164" i="11"/>
  <c r="F164" i="11"/>
  <c r="E164" i="11"/>
  <c r="C164" i="11"/>
  <c r="R163" i="11"/>
  <c r="Q163" i="11"/>
  <c r="P163" i="11"/>
  <c r="O163" i="11"/>
  <c r="N163" i="11"/>
  <c r="M163" i="11"/>
  <c r="F163" i="11"/>
  <c r="E163" i="11"/>
  <c r="C163" i="11"/>
  <c r="R162" i="11"/>
  <c r="Q162" i="11"/>
  <c r="P162" i="11"/>
  <c r="O162" i="11"/>
  <c r="N162" i="11"/>
  <c r="M162" i="11"/>
  <c r="F162" i="11"/>
  <c r="E162" i="11"/>
  <c r="C162" i="11"/>
  <c r="R161" i="11"/>
  <c r="Q161" i="11"/>
  <c r="P161" i="11"/>
  <c r="O161" i="11"/>
  <c r="N161" i="11"/>
  <c r="M161" i="11"/>
  <c r="F161" i="11"/>
  <c r="E161" i="11"/>
  <c r="C161" i="11"/>
  <c r="R160" i="11"/>
  <c r="Q160" i="11"/>
  <c r="P160" i="11"/>
  <c r="O160" i="11"/>
  <c r="N160" i="11"/>
  <c r="M160" i="11"/>
  <c r="F160" i="11"/>
  <c r="E160" i="11"/>
  <c r="C160" i="11"/>
  <c r="R159" i="11"/>
  <c r="Q159" i="11"/>
  <c r="P159" i="11"/>
  <c r="O159" i="11"/>
  <c r="N159" i="11"/>
  <c r="M159" i="11"/>
  <c r="F159" i="11"/>
  <c r="E159" i="11"/>
  <c r="C159" i="11"/>
  <c r="R158" i="11"/>
  <c r="Q158" i="11"/>
  <c r="P158" i="11"/>
  <c r="O158" i="11"/>
  <c r="N158" i="11"/>
  <c r="M158" i="11"/>
  <c r="F158" i="11"/>
  <c r="E158" i="11"/>
  <c r="C158" i="11"/>
  <c r="R157" i="11"/>
  <c r="Q157" i="11"/>
  <c r="P157" i="11"/>
  <c r="O157" i="11"/>
  <c r="N157" i="11"/>
  <c r="M157" i="11"/>
  <c r="F157" i="11"/>
  <c r="E157" i="11"/>
  <c r="C157" i="11"/>
  <c r="R156" i="11"/>
  <c r="Q156" i="11"/>
  <c r="P156" i="11"/>
  <c r="O156" i="11"/>
  <c r="N156" i="11"/>
  <c r="M156" i="11"/>
  <c r="F156" i="11"/>
  <c r="E156" i="11"/>
  <c r="C156" i="11"/>
  <c r="R155" i="11"/>
  <c r="Q155" i="11"/>
  <c r="P155" i="11"/>
  <c r="O155" i="11"/>
  <c r="N155" i="11"/>
  <c r="M155" i="11"/>
  <c r="F155" i="11"/>
  <c r="E155" i="11"/>
  <c r="C155" i="11"/>
  <c r="R154" i="11"/>
  <c r="Q154" i="11"/>
  <c r="P154" i="11"/>
  <c r="O154" i="11"/>
  <c r="N154" i="11"/>
  <c r="M154" i="11"/>
  <c r="F154" i="11"/>
  <c r="E154" i="11"/>
  <c r="C154" i="11"/>
  <c r="R153" i="11"/>
  <c r="Q153" i="11"/>
  <c r="P153" i="11"/>
  <c r="O153" i="11"/>
  <c r="N153" i="11"/>
  <c r="M153" i="11"/>
  <c r="F153" i="11"/>
  <c r="E153" i="11"/>
  <c r="C153" i="11"/>
  <c r="R152" i="11"/>
  <c r="Q152" i="11"/>
  <c r="P152" i="11"/>
  <c r="O152" i="11"/>
  <c r="N152" i="11"/>
  <c r="M152" i="11"/>
  <c r="F152" i="11"/>
  <c r="E152" i="11"/>
  <c r="C152" i="11"/>
  <c r="R151" i="11"/>
  <c r="Q151" i="11"/>
  <c r="P151" i="11"/>
  <c r="O151" i="11"/>
  <c r="N151" i="11"/>
  <c r="M151" i="11"/>
  <c r="F151" i="11"/>
  <c r="E151" i="11"/>
  <c r="C151" i="11"/>
  <c r="R150" i="11"/>
  <c r="Q150" i="11"/>
  <c r="P150" i="11"/>
  <c r="O150" i="11"/>
  <c r="N150" i="11"/>
  <c r="M150" i="11"/>
  <c r="F150" i="11"/>
  <c r="E150" i="11"/>
  <c r="C150" i="11"/>
  <c r="R149" i="11"/>
  <c r="Q149" i="11"/>
  <c r="P149" i="11"/>
  <c r="O149" i="11"/>
  <c r="N149" i="11"/>
  <c r="M149" i="11"/>
  <c r="F149" i="11"/>
  <c r="E149" i="11"/>
  <c r="C149" i="11"/>
  <c r="R148" i="11"/>
  <c r="Q148" i="11"/>
  <c r="P148" i="11"/>
  <c r="O148" i="11"/>
  <c r="N148" i="11"/>
  <c r="M148" i="11"/>
  <c r="F148" i="11"/>
  <c r="E148" i="11"/>
  <c r="C148" i="11"/>
  <c r="R147" i="11"/>
  <c r="Q147" i="11"/>
  <c r="P147" i="11"/>
  <c r="O147" i="11"/>
  <c r="N147" i="11"/>
  <c r="M147" i="11"/>
  <c r="F147" i="11"/>
  <c r="E147" i="11"/>
  <c r="C147" i="11"/>
  <c r="R146" i="11"/>
  <c r="Q146" i="11"/>
  <c r="P146" i="11"/>
  <c r="O146" i="11"/>
  <c r="N146" i="11"/>
  <c r="M146" i="11"/>
  <c r="F146" i="11"/>
  <c r="E146" i="11"/>
  <c r="C146" i="11"/>
  <c r="R145" i="11"/>
  <c r="Q145" i="11"/>
  <c r="P145" i="11"/>
  <c r="O145" i="11"/>
  <c r="N145" i="11"/>
  <c r="M145" i="11"/>
  <c r="F145" i="11"/>
  <c r="E145" i="11"/>
  <c r="C145" i="11"/>
  <c r="R144" i="11"/>
  <c r="Q144" i="11"/>
  <c r="P144" i="11"/>
  <c r="O144" i="11"/>
  <c r="N144" i="11"/>
  <c r="M144" i="11"/>
  <c r="F144" i="11"/>
  <c r="E144" i="11"/>
  <c r="C144" i="11"/>
  <c r="R143" i="11"/>
  <c r="Q143" i="11"/>
  <c r="P143" i="11"/>
  <c r="O143" i="11"/>
  <c r="N143" i="11"/>
  <c r="M143" i="11"/>
  <c r="F143" i="11"/>
  <c r="E143" i="11"/>
  <c r="C143" i="11"/>
  <c r="R142" i="11"/>
  <c r="Q142" i="11"/>
  <c r="P142" i="11"/>
  <c r="O142" i="11"/>
  <c r="N142" i="11"/>
  <c r="M142" i="11"/>
  <c r="F142" i="11"/>
  <c r="E142" i="11"/>
  <c r="C142" i="11"/>
  <c r="R141" i="11"/>
  <c r="Q141" i="11"/>
  <c r="P141" i="11"/>
  <c r="O141" i="11"/>
  <c r="N141" i="11"/>
  <c r="M141" i="11"/>
  <c r="F141" i="11"/>
  <c r="E141" i="11"/>
  <c r="C141" i="11"/>
  <c r="R140" i="11"/>
  <c r="Q140" i="11"/>
  <c r="P140" i="11"/>
  <c r="O140" i="11"/>
  <c r="N140" i="11"/>
  <c r="M140" i="11"/>
  <c r="F140" i="11"/>
  <c r="E140" i="11"/>
  <c r="C140" i="11"/>
  <c r="R139" i="11"/>
  <c r="Q139" i="11"/>
  <c r="P139" i="11"/>
  <c r="O139" i="11"/>
  <c r="N139" i="11"/>
  <c r="M139" i="11"/>
  <c r="F139" i="11"/>
  <c r="E139" i="11"/>
  <c r="C139" i="11"/>
  <c r="R138" i="11"/>
  <c r="Q138" i="11"/>
  <c r="P138" i="11"/>
  <c r="O138" i="11"/>
  <c r="N138" i="11"/>
  <c r="M138" i="11"/>
  <c r="F138" i="11"/>
  <c r="E138" i="11"/>
  <c r="C138" i="11"/>
  <c r="R137" i="11"/>
  <c r="Q137" i="11"/>
  <c r="P137" i="11"/>
  <c r="O137" i="11"/>
  <c r="N137" i="11"/>
  <c r="M137" i="11"/>
  <c r="F137" i="11"/>
  <c r="E137" i="11"/>
  <c r="C137" i="11"/>
  <c r="R136" i="11"/>
  <c r="Q136" i="11"/>
  <c r="P136" i="11"/>
  <c r="O136" i="11"/>
  <c r="N136" i="11"/>
  <c r="M136" i="11"/>
  <c r="F136" i="11"/>
  <c r="E136" i="11"/>
  <c r="C136" i="11"/>
  <c r="R135" i="11"/>
  <c r="Q135" i="11"/>
  <c r="P135" i="11"/>
  <c r="O135" i="11"/>
  <c r="N135" i="11"/>
  <c r="M135" i="11"/>
  <c r="F135" i="11"/>
  <c r="E135" i="11"/>
  <c r="C135" i="11"/>
  <c r="R134" i="11"/>
  <c r="Q134" i="11"/>
  <c r="P134" i="11"/>
  <c r="O134" i="11"/>
  <c r="N134" i="11"/>
  <c r="M134" i="11"/>
  <c r="F134" i="11"/>
  <c r="E134" i="11"/>
  <c r="C134" i="11"/>
  <c r="R133" i="11"/>
  <c r="Q133" i="11"/>
  <c r="P133" i="11"/>
  <c r="O133" i="11"/>
  <c r="N133" i="11"/>
  <c r="M133" i="11"/>
  <c r="F133" i="11"/>
  <c r="E133" i="11"/>
  <c r="C133" i="11"/>
  <c r="R132" i="11"/>
  <c r="Q132" i="11"/>
  <c r="P132" i="11"/>
  <c r="O132" i="11"/>
  <c r="N132" i="11"/>
  <c r="M132" i="11"/>
  <c r="F132" i="11"/>
  <c r="E132" i="11"/>
  <c r="C132" i="11"/>
  <c r="R131" i="11"/>
  <c r="Q131" i="11"/>
  <c r="P131" i="11"/>
  <c r="O131" i="11"/>
  <c r="N131" i="11"/>
  <c r="M131" i="11"/>
  <c r="F131" i="11"/>
  <c r="E131" i="11"/>
  <c r="C131" i="11"/>
  <c r="R130" i="11"/>
  <c r="Q130" i="11"/>
  <c r="P130" i="11"/>
  <c r="O130" i="11"/>
  <c r="N130" i="11"/>
  <c r="M130" i="11"/>
  <c r="F130" i="11"/>
  <c r="E130" i="11"/>
  <c r="C130" i="11"/>
  <c r="R129" i="11"/>
  <c r="Q129" i="11"/>
  <c r="P129" i="11"/>
  <c r="O129" i="11"/>
  <c r="N129" i="11"/>
  <c r="M129" i="11"/>
  <c r="F129" i="11"/>
  <c r="E129" i="11"/>
  <c r="C129" i="11"/>
  <c r="R128" i="11"/>
  <c r="Q128" i="11"/>
  <c r="P128" i="11"/>
  <c r="O128" i="11"/>
  <c r="N128" i="11"/>
  <c r="M128" i="11"/>
  <c r="F128" i="11"/>
  <c r="E128" i="11"/>
  <c r="C128" i="11"/>
  <c r="R127" i="11"/>
  <c r="Q127" i="11"/>
  <c r="P127" i="11"/>
  <c r="O127" i="11"/>
  <c r="N127" i="11"/>
  <c r="M127" i="11"/>
  <c r="F127" i="11"/>
  <c r="E127" i="11"/>
  <c r="C127" i="11"/>
  <c r="R126" i="11"/>
  <c r="Q126" i="11"/>
  <c r="P126" i="11"/>
  <c r="O126" i="11"/>
  <c r="N126" i="11"/>
  <c r="M126" i="11"/>
  <c r="F126" i="11"/>
  <c r="E126" i="11"/>
  <c r="C126" i="11"/>
  <c r="R125" i="11"/>
  <c r="Q125" i="11"/>
  <c r="P125" i="11"/>
  <c r="O125" i="11"/>
  <c r="N125" i="11"/>
  <c r="M125" i="11"/>
  <c r="F125" i="11"/>
  <c r="E125" i="11"/>
  <c r="C125" i="11"/>
  <c r="R124" i="11"/>
  <c r="Q124" i="11"/>
  <c r="P124" i="11"/>
  <c r="O124" i="11"/>
  <c r="N124" i="11"/>
  <c r="M124" i="11"/>
  <c r="F124" i="11"/>
  <c r="E124" i="11"/>
  <c r="C124" i="11"/>
  <c r="R123" i="11"/>
  <c r="Q123" i="11"/>
  <c r="P123" i="11"/>
  <c r="O123" i="11"/>
  <c r="N123" i="11"/>
  <c r="M123" i="11"/>
  <c r="F123" i="11"/>
  <c r="E123" i="11"/>
  <c r="C123" i="11"/>
  <c r="R122" i="11"/>
  <c r="Q122" i="11"/>
  <c r="P122" i="11"/>
  <c r="O122" i="11"/>
  <c r="N122" i="11"/>
  <c r="M122" i="11"/>
  <c r="F122" i="11"/>
  <c r="E122" i="11"/>
  <c r="C122" i="11"/>
  <c r="R121" i="11"/>
  <c r="Q121" i="11"/>
  <c r="P121" i="11"/>
  <c r="O121" i="11"/>
  <c r="N121" i="11"/>
  <c r="M121" i="11"/>
  <c r="F121" i="11"/>
  <c r="E121" i="11"/>
  <c r="C121" i="11"/>
  <c r="R120" i="11"/>
  <c r="Q120" i="11"/>
  <c r="P120" i="11"/>
  <c r="O120" i="11"/>
  <c r="N120" i="11"/>
  <c r="M120" i="11"/>
  <c r="F120" i="11"/>
  <c r="E120" i="11"/>
  <c r="C120" i="11"/>
  <c r="R119" i="11"/>
  <c r="Q119" i="11"/>
  <c r="P119" i="11"/>
  <c r="O119" i="11"/>
  <c r="N119" i="11"/>
  <c r="M119" i="11"/>
  <c r="F119" i="11"/>
  <c r="E119" i="11"/>
  <c r="C119" i="11"/>
  <c r="R118" i="11"/>
  <c r="Q118" i="11"/>
  <c r="P118" i="11"/>
  <c r="O118" i="11"/>
  <c r="N118" i="11"/>
  <c r="M118" i="11"/>
  <c r="F118" i="11"/>
  <c r="E118" i="11"/>
  <c r="C118" i="11"/>
  <c r="R117" i="11"/>
  <c r="Q117" i="11"/>
  <c r="P117" i="11"/>
  <c r="O117" i="11"/>
  <c r="N117" i="11"/>
  <c r="M117" i="11"/>
  <c r="F117" i="11"/>
  <c r="E117" i="11"/>
  <c r="C117" i="11"/>
  <c r="R116" i="11"/>
  <c r="Q116" i="11"/>
  <c r="P116" i="11"/>
  <c r="O116" i="11"/>
  <c r="N116" i="11"/>
  <c r="M116" i="11"/>
  <c r="F116" i="11"/>
  <c r="E116" i="11"/>
  <c r="C116" i="11"/>
  <c r="R115" i="11"/>
  <c r="Q115" i="11"/>
  <c r="P115" i="11"/>
  <c r="O115" i="11"/>
  <c r="N115" i="11"/>
  <c r="M115" i="11"/>
  <c r="F115" i="11"/>
  <c r="E115" i="11"/>
  <c r="C115" i="11"/>
  <c r="R114" i="11"/>
  <c r="Q114" i="11"/>
  <c r="P114" i="11"/>
  <c r="O114" i="11"/>
  <c r="N114" i="11"/>
  <c r="M114" i="11"/>
  <c r="F114" i="11"/>
  <c r="E114" i="11"/>
  <c r="C114" i="11"/>
  <c r="R113" i="11"/>
  <c r="Q113" i="11"/>
  <c r="P113" i="11"/>
  <c r="O113" i="11"/>
  <c r="N113" i="11"/>
  <c r="M113" i="11"/>
  <c r="F113" i="11"/>
  <c r="E113" i="11"/>
  <c r="C113" i="11"/>
  <c r="R112" i="11"/>
  <c r="Q112" i="11"/>
  <c r="P112" i="11"/>
  <c r="O112" i="11"/>
  <c r="N112" i="11"/>
  <c r="M112" i="11"/>
  <c r="F112" i="11"/>
  <c r="E112" i="11"/>
  <c r="C112" i="11"/>
  <c r="R111" i="11"/>
  <c r="Q111" i="11"/>
  <c r="P111" i="11"/>
  <c r="O111" i="11"/>
  <c r="N111" i="11"/>
  <c r="M111" i="11"/>
  <c r="F111" i="11"/>
  <c r="E111" i="11"/>
  <c r="C111" i="11"/>
  <c r="R110" i="11"/>
  <c r="Q110" i="11"/>
  <c r="P110" i="11"/>
  <c r="O110" i="11"/>
  <c r="N110" i="11"/>
  <c r="M110" i="11"/>
  <c r="F110" i="11"/>
  <c r="E110" i="11"/>
  <c r="C110" i="11"/>
  <c r="R109" i="11"/>
  <c r="Q109" i="11"/>
  <c r="P109" i="11"/>
  <c r="O109" i="11"/>
  <c r="N109" i="11"/>
  <c r="M109" i="11"/>
  <c r="F109" i="11"/>
  <c r="E109" i="11"/>
  <c r="C109" i="11"/>
  <c r="R108" i="11"/>
  <c r="Q108" i="11"/>
  <c r="P108" i="11"/>
  <c r="O108" i="11"/>
  <c r="N108" i="11"/>
  <c r="M108" i="11"/>
  <c r="F108" i="11"/>
  <c r="E108" i="11"/>
  <c r="C108" i="11"/>
  <c r="R107" i="11"/>
  <c r="Q107" i="11"/>
  <c r="P107" i="11"/>
  <c r="O107" i="11"/>
  <c r="N107" i="11"/>
  <c r="M107" i="11"/>
  <c r="F107" i="11"/>
  <c r="E107" i="11"/>
  <c r="C107" i="11"/>
  <c r="R106" i="11"/>
  <c r="Q106" i="11"/>
  <c r="P106" i="11"/>
  <c r="O106" i="11"/>
  <c r="N106" i="11"/>
  <c r="M106" i="11"/>
  <c r="F106" i="11"/>
  <c r="E106" i="11"/>
  <c r="C106" i="11"/>
  <c r="R105" i="11"/>
  <c r="Q105" i="11"/>
  <c r="P105" i="11"/>
  <c r="O105" i="11"/>
  <c r="N105" i="11"/>
  <c r="M105" i="11"/>
  <c r="F105" i="11"/>
  <c r="E105" i="11"/>
  <c r="C105" i="11"/>
  <c r="R104" i="11"/>
  <c r="Q104" i="11"/>
  <c r="P104" i="11"/>
  <c r="O104" i="11"/>
  <c r="N104" i="11"/>
  <c r="M104" i="11"/>
  <c r="F104" i="11"/>
  <c r="E104" i="11"/>
  <c r="C104" i="11"/>
  <c r="R103" i="11"/>
  <c r="Q103" i="11"/>
  <c r="P103" i="11"/>
  <c r="O103" i="11"/>
  <c r="N103" i="11"/>
  <c r="M103" i="11"/>
  <c r="F103" i="11"/>
  <c r="E103" i="11"/>
  <c r="C103" i="11"/>
  <c r="R102" i="11"/>
  <c r="Q102" i="11"/>
  <c r="P102" i="11"/>
  <c r="O102" i="11"/>
  <c r="N102" i="11"/>
  <c r="M102" i="11"/>
  <c r="F102" i="11"/>
  <c r="E102" i="11"/>
  <c r="C102" i="11"/>
  <c r="R101" i="11"/>
  <c r="Q101" i="11"/>
  <c r="P101" i="11"/>
  <c r="O101" i="11"/>
  <c r="N101" i="11"/>
  <c r="M101" i="11"/>
  <c r="F101" i="11"/>
  <c r="E101" i="11"/>
  <c r="C101" i="11"/>
  <c r="R100" i="11"/>
  <c r="Q100" i="11"/>
  <c r="P100" i="11"/>
  <c r="O100" i="11"/>
  <c r="N100" i="11"/>
  <c r="M100" i="11"/>
  <c r="F100" i="11"/>
  <c r="E100" i="11"/>
  <c r="C100" i="11"/>
  <c r="R99" i="11"/>
  <c r="Q99" i="11"/>
  <c r="P99" i="11"/>
  <c r="O99" i="11"/>
  <c r="N99" i="11"/>
  <c r="M99" i="11"/>
  <c r="F99" i="11"/>
  <c r="E99" i="11"/>
  <c r="C99" i="11"/>
  <c r="R98" i="11"/>
  <c r="Q98" i="11"/>
  <c r="P98" i="11"/>
  <c r="O98" i="11"/>
  <c r="N98" i="11"/>
  <c r="M98" i="11"/>
  <c r="F98" i="11"/>
  <c r="E98" i="11"/>
  <c r="C98" i="11"/>
  <c r="R97" i="11"/>
  <c r="Q97" i="11"/>
  <c r="P97" i="11"/>
  <c r="O97" i="11"/>
  <c r="N97" i="11"/>
  <c r="M97" i="11"/>
  <c r="F97" i="11"/>
  <c r="E97" i="11"/>
  <c r="C97" i="11"/>
  <c r="R96" i="11"/>
  <c r="Q96" i="11"/>
  <c r="P96" i="11"/>
  <c r="O96" i="11"/>
  <c r="N96" i="11"/>
  <c r="M96" i="11"/>
  <c r="F96" i="11"/>
  <c r="E96" i="11"/>
  <c r="C96" i="11"/>
  <c r="R95" i="11"/>
  <c r="Q95" i="11"/>
  <c r="P95" i="11"/>
  <c r="O95" i="11"/>
  <c r="N95" i="11"/>
  <c r="M95" i="11"/>
  <c r="F95" i="11"/>
  <c r="E95" i="11"/>
  <c r="C95" i="11"/>
  <c r="R94" i="11"/>
  <c r="Q94" i="11"/>
  <c r="P94" i="11"/>
  <c r="O94" i="11"/>
  <c r="N94" i="11"/>
  <c r="M94" i="11"/>
  <c r="F94" i="11"/>
  <c r="E94" i="11"/>
  <c r="C94" i="11"/>
  <c r="R93" i="11"/>
  <c r="Q93" i="11"/>
  <c r="P93" i="11"/>
  <c r="O93" i="11"/>
  <c r="N93" i="11"/>
  <c r="M93" i="11"/>
  <c r="F93" i="11"/>
  <c r="E93" i="11"/>
  <c r="C93" i="11"/>
  <c r="R92" i="11"/>
  <c r="Q92" i="11"/>
  <c r="P92" i="11"/>
  <c r="O92" i="11"/>
  <c r="N92" i="11"/>
  <c r="M92" i="11"/>
  <c r="F92" i="11"/>
  <c r="E92" i="11"/>
  <c r="C92" i="11"/>
  <c r="R91" i="11"/>
  <c r="Q91" i="11"/>
  <c r="P91" i="11"/>
  <c r="O91" i="11"/>
  <c r="N91" i="11"/>
  <c r="M91" i="11"/>
  <c r="F91" i="11"/>
  <c r="E91" i="11"/>
  <c r="C91" i="11"/>
  <c r="R90" i="11"/>
  <c r="Q90" i="11"/>
  <c r="P90" i="11"/>
  <c r="O90" i="11"/>
  <c r="N90" i="11"/>
  <c r="M90" i="11"/>
  <c r="F90" i="11"/>
  <c r="E90" i="11"/>
  <c r="C90" i="11"/>
  <c r="R89" i="11"/>
  <c r="Q89" i="11"/>
  <c r="P89" i="11"/>
  <c r="O89" i="11"/>
  <c r="N89" i="11"/>
  <c r="M89" i="11"/>
  <c r="F89" i="11"/>
  <c r="E89" i="11"/>
  <c r="C89" i="11"/>
  <c r="R88" i="11"/>
  <c r="Q88" i="11"/>
  <c r="P88" i="11"/>
  <c r="O88" i="11"/>
  <c r="N88" i="11"/>
  <c r="M88" i="11"/>
  <c r="F88" i="11"/>
  <c r="E88" i="11"/>
  <c r="C88" i="11"/>
  <c r="R87" i="11"/>
  <c r="Q87" i="11"/>
  <c r="P87" i="11"/>
  <c r="O87" i="11"/>
  <c r="N87" i="11"/>
  <c r="M87" i="11"/>
  <c r="F87" i="11"/>
  <c r="E87" i="11"/>
  <c r="C87" i="11"/>
  <c r="R86" i="11"/>
  <c r="Q86" i="11"/>
  <c r="P86" i="11"/>
  <c r="O86" i="11"/>
  <c r="N86" i="11"/>
  <c r="M86" i="11"/>
  <c r="F86" i="11"/>
  <c r="E86" i="11"/>
  <c r="C86" i="11"/>
  <c r="R85" i="11"/>
  <c r="Q85" i="11"/>
  <c r="P85" i="11"/>
  <c r="O85" i="11"/>
  <c r="N85" i="11"/>
  <c r="M85" i="11"/>
  <c r="F85" i="11"/>
  <c r="E85" i="11"/>
  <c r="C85" i="11"/>
  <c r="R84" i="11"/>
  <c r="Q84" i="11"/>
  <c r="P84" i="11"/>
  <c r="O84" i="11"/>
  <c r="N84" i="11"/>
  <c r="M84" i="11"/>
  <c r="F84" i="11"/>
  <c r="E84" i="11"/>
  <c r="C84" i="11"/>
  <c r="R83" i="11"/>
  <c r="Q83" i="11"/>
  <c r="P83" i="11"/>
  <c r="O83" i="11"/>
  <c r="N83" i="11"/>
  <c r="M83" i="11"/>
  <c r="F83" i="11"/>
  <c r="E83" i="11"/>
  <c r="C83" i="11"/>
  <c r="R82" i="11"/>
  <c r="Q82" i="11"/>
  <c r="P82" i="11"/>
  <c r="O82" i="11"/>
  <c r="N82" i="11"/>
  <c r="M82" i="11"/>
  <c r="F82" i="11"/>
  <c r="E82" i="11"/>
  <c r="C82" i="11"/>
  <c r="R81" i="11"/>
  <c r="Q81" i="11"/>
  <c r="P81" i="11"/>
  <c r="O81" i="11"/>
  <c r="N81" i="11"/>
  <c r="M81" i="11"/>
  <c r="F81" i="11"/>
  <c r="E81" i="11"/>
  <c r="C81" i="11"/>
  <c r="R80" i="11"/>
  <c r="Q80" i="11"/>
  <c r="P80" i="11"/>
  <c r="O80" i="11"/>
  <c r="N80" i="11"/>
  <c r="M80" i="11"/>
  <c r="F80" i="11"/>
  <c r="E80" i="11"/>
  <c r="C80" i="11"/>
  <c r="R79" i="11"/>
  <c r="Q79" i="11"/>
  <c r="P79" i="11"/>
  <c r="O79" i="11"/>
  <c r="N79" i="11"/>
  <c r="M79" i="11"/>
  <c r="F79" i="11"/>
  <c r="E79" i="11"/>
  <c r="C79" i="11"/>
  <c r="R78" i="11"/>
  <c r="Q78" i="11"/>
  <c r="P78" i="11"/>
  <c r="O78" i="11"/>
  <c r="N78" i="11"/>
  <c r="M78" i="11"/>
  <c r="F78" i="11"/>
  <c r="E78" i="11"/>
  <c r="C78" i="11"/>
  <c r="R77" i="11"/>
  <c r="Q77" i="11"/>
  <c r="P77" i="11"/>
  <c r="O77" i="11"/>
  <c r="N77" i="11"/>
  <c r="M77" i="11"/>
  <c r="F77" i="11"/>
  <c r="E77" i="11"/>
  <c r="C77" i="11"/>
  <c r="R76" i="11"/>
  <c r="Q76" i="11"/>
  <c r="P76" i="11"/>
  <c r="O76" i="11"/>
  <c r="N76" i="11"/>
  <c r="M76" i="11"/>
  <c r="F76" i="11"/>
  <c r="E76" i="11"/>
  <c r="C76" i="11"/>
  <c r="R75" i="11"/>
  <c r="Q75" i="11"/>
  <c r="P75" i="11"/>
  <c r="O75" i="11"/>
  <c r="N75" i="11"/>
  <c r="M75" i="11"/>
  <c r="F75" i="11"/>
  <c r="E75" i="11"/>
  <c r="C75" i="11"/>
  <c r="R74" i="11"/>
  <c r="Q74" i="11"/>
  <c r="P74" i="11"/>
  <c r="O74" i="11"/>
  <c r="N74" i="11"/>
  <c r="M74" i="11"/>
  <c r="F74" i="11"/>
  <c r="E74" i="11"/>
  <c r="C74" i="11"/>
  <c r="R73" i="11"/>
  <c r="Q73" i="11"/>
  <c r="P73" i="11"/>
  <c r="O73" i="11"/>
  <c r="N73" i="11"/>
  <c r="M73" i="11"/>
  <c r="F73" i="11"/>
  <c r="E73" i="11"/>
  <c r="C73" i="11"/>
  <c r="R72" i="11"/>
  <c r="Q72" i="11"/>
  <c r="P72" i="11"/>
  <c r="O72" i="11"/>
  <c r="N72" i="11"/>
  <c r="M72" i="11"/>
  <c r="F72" i="11"/>
  <c r="E72" i="11"/>
  <c r="C72" i="11"/>
  <c r="R71" i="11"/>
  <c r="Q71" i="11"/>
  <c r="P71" i="11"/>
  <c r="O71" i="11"/>
  <c r="N71" i="11"/>
  <c r="M71" i="11"/>
  <c r="F71" i="11"/>
  <c r="E71" i="11"/>
  <c r="C71" i="11"/>
  <c r="R70" i="11"/>
  <c r="Q70" i="11"/>
  <c r="P70" i="11"/>
  <c r="O70" i="11"/>
  <c r="N70" i="11"/>
  <c r="M70" i="11"/>
  <c r="F70" i="11"/>
  <c r="E70" i="11"/>
  <c r="C70" i="11"/>
  <c r="R69" i="11"/>
  <c r="Q69" i="11"/>
  <c r="P69" i="11"/>
  <c r="O69" i="11"/>
  <c r="N69" i="11"/>
  <c r="M69" i="11"/>
  <c r="F69" i="11"/>
  <c r="E69" i="11"/>
  <c r="C69" i="11"/>
  <c r="R68" i="11"/>
  <c r="Q68" i="11"/>
  <c r="P68" i="11"/>
  <c r="O68" i="11"/>
  <c r="N68" i="11"/>
  <c r="M68" i="11"/>
  <c r="F68" i="11"/>
  <c r="E68" i="11"/>
  <c r="C68" i="11"/>
  <c r="R67" i="11"/>
  <c r="Q67" i="11"/>
  <c r="P67" i="11"/>
  <c r="O67" i="11"/>
  <c r="N67" i="11"/>
  <c r="M67" i="11"/>
  <c r="F67" i="11"/>
  <c r="E67" i="11"/>
  <c r="C67" i="11"/>
  <c r="R66" i="11"/>
  <c r="Q66" i="11"/>
  <c r="P66" i="11"/>
  <c r="O66" i="11"/>
  <c r="N66" i="11"/>
  <c r="M66" i="11"/>
  <c r="F66" i="11"/>
  <c r="E66" i="11"/>
  <c r="C66" i="11"/>
  <c r="R65" i="11"/>
  <c r="Q65" i="11"/>
  <c r="P65" i="11"/>
  <c r="O65" i="11"/>
  <c r="N65" i="11"/>
  <c r="M65" i="11"/>
  <c r="F65" i="11"/>
  <c r="E65" i="11"/>
  <c r="C65" i="11"/>
  <c r="R64" i="11"/>
  <c r="Q64" i="11"/>
  <c r="P64" i="11"/>
  <c r="O64" i="11"/>
  <c r="N64" i="11"/>
  <c r="M64" i="11"/>
  <c r="F64" i="11"/>
  <c r="E64" i="11"/>
  <c r="C64" i="11"/>
  <c r="R63" i="11"/>
  <c r="Q63" i="11"/>
  <c r="P63" i="11"/>
  <c r="O63" i="11"/>
  <c r="N63" i="11"/>
  <c r="M63" i="11"/>
  <c r="F63" i="11"/>
  <c r="E63" i="11"/>
  <c r="C63" i="11"/>
  <c r="R62" i="11"/>
  <c r="Q62" i="11"/>
  <c r="P62" i="11"/>
  <c r="O62" i="11"/>
  <c r="N62" i="11"/>
  <c r="M62" i="11"/>
  <c r="F62" i="11"/>
  <c r="E62" i="11"/>
  <c r="C62" i="11"/>
  <c r="R61" i="11"/>
  <c r="Q61" i="11"/>
  <c r="P61" i="11"/>
  <c r="O61" i="11"/>
  <c r="N61" i="11"/>
  <c r="M61" i="11"/>
  <c r="F61" i="11"/>
  <c r="E61" i="11"/>
  <c r="C61" i="11"/>
  <c r="R60" i="11"/>
  <c r="Q60" i="11"/>
  <c r="P60" i="11"/>
  <c r="O60" i="11"/>
  <c r="N60" i="11"/>
  <c r="M60" i="11"/>
  <c r="F60" i="11"/>
  <c r="E60" i="11"/>
  <c r="C60" i="11"/>
  <c r="R59" i="11"/>
  <c r="Q59" i="11"/>
  <c r="P59" i="11"/>
  <c r="O59" i="11"/>
  <c r="N59" i="11"/>
  <c r="M59" i="11"/>
  <c r="F59" i="11"/>
  <c r="E59" i="11"/>
  <c r="C59" i="11"/>
  <c r="R58" i="11"/>
  <c r="Q58" i="11"/>
  <c r="P58" i="11"/>
  <c r="O58" i="11"/>
  <c r="N58" i="11"/>
  <c r="M58" i="11"/>
  <c r="F58" i="11"/>
  <c r="E58" i="11"/>
  <c r="C58" i="11"/>
  <c r="R57" i="11"/>
  <c r="Q57" i="11"/>
  <c r="P57" i="11"/>
  <c r="O57" i="11"/>
  <c r="N57" i="11"/>
  <c r="M57" i="11"/>
  <c r="F57" i="11"/>
  <c r="E57" i="11"/>
  <c r="C57" i="11"/>
  <c r="R56" i="11"/>
  <c r="Q56" i="11"/>
  <c r="P56" i="11"/>
  <c r="O56" i="11"/>
  <c r="N56" i="11"/>
  <c r="M56" i="11"/>
  <c r="F56" i="11"/>
  <c r="E56" i="11"/>
  <c r="C56" i="11"/>
  <c r="R55" i="11"/>
  <c r="Q55" i="11"/>
  <c r="P55" i="11"/>
  <c r="O55" i="11"/>
  <c r="N55" i="11"/>
  <c r="M55" i="11"/>
  <c r="F55" i="11"/>
  <c r="E55" i="11"/>
  <c r="C55" i="11"/>
  <c r="R54" i="11"/>
  <c r="Q54" i="11"/>
  <c r="P54" i="11"/>
  <c r="O54" i="11"/>
  <c r="N54" i="11"/>
  <c r="M54" i="11"/>
  <c r="F54" i="11"/>
  <c r="E54" i="11"/>
  <c r="C54" i="11"/>
  <c r="R53" i="11"/>
  <c r="Q53" i="11"/>
  <c r="P53" i="11"/>
  <c r="O53" i="11"/>
  <c r="N53" i="11"/>
  <c r="M53" i="11"/>
  <c r="F53" i="11"/>
  <c r="E53" i="11"/>
  <c r="C53" i="11"/>
  <c r="R52" i="11"/>
  <c r="Q52" i="11"/>
  <c r="P52" i="11"/>
  <c r="O52" i="11"/>
  <c r="N52" i="11"/>
  <c r="M52" i="11"/>
  <c r="F52" i="11"/>
  <c r="E52" i="11"/>
  <c r="C52" i="11"/>
  <c r="R51" i="11"/>
  <c r="Q51" i="11"/>
  <c r="P51" i="11"/>
  <c r="O51" i="11"/>
  <c r="N51" i="11"/>
  <c r="M51" i="11"/>
  <c r="F51" i="11"/>
  <c r="E51" i="11"/>
  <c r="C51" i="11"/>
  <c r="R50" i="11"/>
  <c r="Q50" i="11"/>
  <c r="P50" i="11"/>
  <c r="O50" i="11"/>
  <c r="N50" i="11"/>
  <c r="M50" i="11"/>
  <c r="F50" i="11"/>
  <c r="E50" i="11"/>
  <c r="C50" i="11"/>
  <c r="R49" i="11"/>
  <c r="Q49" i="11"/>
  <c r="P49" i="11"/>
  <c r="O49" i="11"/>
  <c r="N49" i="11"/>
  <c r="M49" i="11"/>
  <c r="F49" i="11"/>
  <c r="E49" i="11"/>
  <c r="C49" i="11"/>
  <c r="R48" i="11"/>
  <c r="Q48" i="11"/>
  <c r="P48" i="11"/>
  <c r="O48" i="11"/>
  <c r="N48" i="11"/>
  <c r="M48" i="11"/>
  <c r="F48" i="11"/>
  <c r="E48" i="11"/>
  <c r="C48" i="11"/>
  <c r="R47" i="11"/>
  <c r="Q47" i="11"/>
  <c r="P47" i="11"/>
  <c r="O47" i="11"/>
  <c r="N47" i="11"/>
  <c r="M47" i="11"/>
  <c r="F47" i="11"/>
  <c r="E47" i="11"/>
  <c r="C47" i="11"/>
  <c r="R46" i="11"/>
  <c r="Q46" i="11"/>
  <c r="P46" i="11"/>
  <c r="O46" i="11"/>
  <c r="N46" i="11"/>
  <c r="M46" i="11"/>
  <c r="F46" i="11"/>
  <c r="E46" i="11"/>
  <c r="C46" i="11"/>
  <c r="R45" i="11"/>
  <c r="Q45" i="11"/>
  <c r="P45" i="11"/>
  <c r="O45" i="11"/>
  <c r="N45" i="11"/>
  <c r="M45" i="11"/>
  <c r="F45" i="11"/>
  <c r="E45" i="11"/>
  <c r="C45" i="11"/>
  <c r="R44" i="11"/>
  <c r="Q44" i="11"/>
  <c r="P44" i="11"/>
  <c r="O44" i="11"/>
  <c r="N44" i="11"/>
  <c r="M44" i="11"/>
  <c r="F44" i="11"/>
  <c r="E44" i="11"/>
  <c r="C44" i="11"/>
  <c r="R43" i="11"/>
  <c r="Q43" i="11"/>
  <c r="P43" i="11"/>
  <c r="O43" i="11"/>
  <c r="N43" i="11"/>
  <c r="M43" i="11"/>
  <c r="F43" i="11"/>
  <c r="E43" i="11"/>
  <c r="C43" i="11"/>
  <c r="R42" i="11"/>
  <c r="Q42" i="11"/>
  <c r="P42" i="11"/>
  <c r="O42" i="11"/>
  <c r="N42" i="11"/>
  <c r="M42" i="11"/>
  <c r="F42" i="11"/>
  <c r="E42" i="11"/>
  <c r="C42" i="11"/>
  <c r="R41" i="11"/>
  <c r="Q41" i="11"/>
  <c r="P41" i="11"/>
  <c r="O41" i="11"/>
  <c r="N41" i="11"/>
  <c r="M41" i="11"/>
  <c r="F41" i="11"/>
  <c r="E41" i="11"/>
  <c r="C41" i="11"/>
  <c r="R40" i="11"/>
  <c r="Q40" i="11"/>
  <c r="P40" i="11"/>
  <c r="O40" i="11"/>
  <c r="N40" i="11"/>
  <c r="M40" i="11"/>
  <c r="F40" i="11"/>
  <c r="E40" i="11"/>
  <c r="C40" i="11"/>
  <c r="R39" i="11"/>
  <c r="Q39" i="11"/>
  <c r="P39" i="11"/>
  <c r="O39" i="11"/>
  <c r="N39" i="11"/>
  <c r="M39" i="11"/>
  <c r="F39" i="11"/>
  <c r="E39" i="11"/>
  <c r="C39" i="11"/>
  <c r="R38" i="11"/>
  <c r="Q38" i="11"/>
  <c r="P38" i="11"/>
  <c r="O38" i="11"/>
  <c r="N38" i="11"/>
  <c r="M38" i="11"/>
  <c r="F38" i="11"/>
  <c r="E38" i="11"/>
  <c r="C38" i="11"/>
  <c r="R37" i="11"/>
  <c r="Q37" i="11"/>
  <c r="P37" i="11"/>
  <c r="O37" i="11"/>
  <c r="N37" i="11"/>
  <c r="M37" i="11"/>
  <c r="F37" i="11"/>
  <c r="E37" i="11"/>
  <c r="C37" i="11"/>
  <c r="R36" i="11"/>
  <c r="Q36" i="11"/>
  <c r="P36" i="11"/>
  <c r="O36" i="11"/>
  <c r="N36" i="11"/>
  <c r="M36" i="11"/>
  <c r="F36" i="11"/>
  <c r="E36" i="11"/>
  <c r="C36" i="11"/>
  <c r="R35" i="11"/>
  <c r="Q35" i="11"/>
  <c r="P35" i="11"/>
  <c r="O35" i="11"/>
  <c r="N35" i="11"/>
  <c r="M35" i="11"/>
  <c r="F35" i="11"/>
  <c r="E35" i="11"/>
  <c r="C35" i="11"/>
  <c r="R34" i="11"/>
  <c r="Q34" i="11"/>
  <c r="P34" i="11"/>
  <c r="O34" i="11"/>
  <c r="N34" i="11"/>
  <c r="M34" i="11"/>
  <c r="F34" i="11"/>
  <c r="E34" i="11"/>
  <c r="C34" i="11"/>
  <c r="R33" i="11"/>
  <c r="Q33" i="11"/>
  <c r="P33" i="11"/>
  <c r="O33" i="11"/>
  <c r="N33" i="11"/>
  <c r="M33" i="11"/>
  <c r="F33" i="11"/>
  <c r="E33" i="11"/>
  <c r="C33" i="11"/>
  <c r="R32" i="11"/>
  <c r="Q32" i="11"/>
  <c r="P32" i="11"/>
  <c r="O32" i="11"/>
  <c r="N32" i="11"/>
  <c r="M32" i="11"/>
  <c r="F32" i="11"/>
  <c r="E32" i="11"/>
  <c r="C32" i="11"/>
  <c r="R31" i="11"/>
  <c r="Q31" i="11"/>
  <c r="P31" i="11"/>
  <c r="O31" i="11"/>
  <c r="N31" i="11"/>
  <c r="M31" i="11"/>
  <c r="F31" i="11"/>
  <c r="E31" i="11"/>
  <c r="C31" i="11"/>
  <c r="R30" i="11"/>
  <c r="Q30" i="11"/>
  <c r="P30" i="11"/>
  <c r="O30" i="11"/>
  <c r="N30" i="11"/>
  <c r="M30" i="11"/>
  <c r="F30" i="11"/>
  <c r="E30" i="11"/>
  <c r="C30" i="11"/>
  <c r="R29" i="11"/>
  <c r="Q29" i="11"/>
  <c r="P29" i="11"/>
  <c r="O29" i="11"/>
  <c r="N29" i="11"/>
  <c r="M29" i="11"/>
  <c r="F29" i="11"/>
  <c r="E29" i="11"/>
  <c r="C29" i="11"/>
  <c r="R28" i="11"/>
  <c r="Q28" i="11"/>
  <c r="P28" i="11"/>
  <c r="O28" i="11"/>
  <c r="N28" i="11"/>
  <c r="M28" i="11"/>
  <c r="F28" i="11"/>
  <c r="E28" i="11"/>
  <c r="C28" i="11"/>
  <c r="R27" i="11"/>
  <c r="Q27" i="11"/>
  <c r="P27" i="11"/>
  <c r="O27" i="11"/>
  <c r="N27" i="11"/>
  <c r="M27" i="11"/>
  <c r="F27" i="11"/>
  <c r="E27" i="11"/>
  <c r="C27" i="11"/>
  <c r="R26" i="11"/>
  <c r="Q26" i="11"/>
  <c r="P26" i="11"/>
  <c r="O26" i="11"/>
  <c r="N26" i="11"/>
  <c r="M26" i="11"/>
  <c r="F26" i="11"/>
  <c r="E26" i="11"/>
  <c r="C26" i="11"/>
  <c r="R25" i="11"/>
  <c r="Q25" i="11"/>
  <c r="P25" i="11"/>
  <c r="O25" i="11"/>
  <c r="N25" i="11"/>
  <c r="M25" i="11"/>
  <c r="F25" i="11"/>
  <c r="E25" i="11"/>
  <c r="C25" i="11"/>
  <c r="R24" i="11"/>
  <c r="Q24" i="11"/>
  <c r="P24" i="11"/>
  <c r="O24" i="11"/>
  <c r="N24" i="11"/>
  <c r="M24" i="11"/>
  <c r="F24" i="11"/>
  <c r="E24" i="11"/>
  <c r="C24" i="11"/>
  <c r="R23" i="11"/>
  <c r="Q23" i="11"/>
  <c r="P23" i="11"/>
  <c r="O23" i="11"/>
  <c r="N23" i="11"/>
  <c r="M23" i="11"/>
  <c r="F23" i="11"/>
  <c r="E23" i="11"/>
  <c r="C23" i="11"/>
  <c r="R22" i="11"/>
  <c r="Q22" i="11"/>
  <c r="P22" i="11"/>
  <c r="O22" i="11"/>
  <c r="N22" i="11"/>
  <c r="M22" i="11"/>
  <c r="F22" i="11"/>
  <c r="E22" i="11"/>
  <c r="C22" i="11"/>
  <c r="R21" i="11"/>
  <c r="Q21" i="11"/>
  <c r="P21" i="11"/>
  <c r="O21" i="11"/>
  <c r="N21" i="11"/>
  <c r="M21" i="11"/>
  <c r="F21" i="11"/>
  <c r="E21" i="11"/>
  <c r="C21" i="11"/>
  <c r="R20" i="11"/>
  <c r="Q20" i="11"/>
  <c r="P20" i="11"/>
  <c r="O20" i="11"/>
  <c r="N20" i="11"/>
  <c r="M20" i="11"/>
  <c r="F20" i="11"/>
  <c r="E20" i="11"/>
  <c r="C20" i="11"/>
  <c r="R19" i="11"/>
  <c r="Q19" i="11"/>
  <c r="P19" i="11"/>
  <c r="O19" i="11"/>
  <c r="N19" i="11"/>
  <c r="M19" i="11"/>
  <c r="F19" i="11"/>
  <c r="E19" i="11"/>
  <c r="C19" i="11"/>
  <c r="R18" i="11"/>
  <c r="Q18" i="11"/>
  <c r="P18" i="11"/>
  <c r="O18" i="11"/>
  <c r="N18" i="11"/>
  <c r="M18" i="11"/>
  <c r="F18" i="11"/>
  <c r="E18" i="11"/>
  <c r="C18" i="11"/>
  <c r="R17" i="11"/>
  <c r="Q17" i="11"/>
  <c r="P17" i="11"/>
  <c r="O17" i="11"/>
  <c r="N17" i="11"/>
  <c r="M17" i="11"/>
  <c r="F17" i="11"/>
  <c r="E17" i="11"/>
  <c r="C17" i="11"/>
  <c r="R16" i="11"/>
  <c r="Q16" i="11"/>
  <c r="P16" i="11"/>
  <c r="O16" i="11"/>
  <c r="N16" i="11"/>
  <c r="M16" i="11"/>
  <c r="F16" i="11"/>
  <c r="E16" i="11"/>
  <c r="C16" i="11"/>
  <c r="R15" i="11"/>
  <c r="Q15" i="11"/>
  <c r="P15" i="11"/>
  <c r="O15" i="11"/>
  <c r="N15" i="11"/>
  <c r="M15" i="11"/>
  <c r="F15" i="11"/>
  <c r="E15" i="11"/>
  <c r="C15" i="11"/>
  <c r="R14" i="11"/>
  <c r="Q14" i="11"/>
  <c r="P14" i="11"/>
  <c r="O14" i="11"/>
  <c r="N14" i="11"/>
  <c r="M14" i="11"/>
  <c r="F14" i="11"/>
  <c r="E14" i="11"/>
  <c r="C14" i="11"/>
  <c r="R13" i="11"/>
  <c r="Q13" i="11"/>
  <c r="P13" i="11"/>
  <c r="O13" i="11"/>
  <c r="N13" i="11"/>
  <c r="M13" i="11"/>
  <c r="F13" i="11"/>
  <c r="E13" i="11"/>
  <c r="C13" i="11"/>
  <c r="R12" i="11"/>
  <c r="Q12" i="11"/>
  <c r="P12" i="11"/>
  <c r="O12" i="11"/>
  <c r="N12" i="11"/>
  <c r="M12" i="11"/>
  <c r="F12" i="11"/>
  <c r="E12" i="11"/>
  <c r="C12" i="11"/>
  <c r="R11" i="11"/>
  <c r="Q11" i="11"/>
  <c r="P11" i="11"/>
  <c r="O11" i="11"/>
  <c r="N11" i="11"/>
  <c r="M11" i="11"/>
  <c r="F11" i="11"/>
  <c r="E11" i="11"/>
  <c r="C11" i="11"/>
  <c r="R10" i="11"/>
  <c r="Q10" i="11"/>
  <c r="P10" i="11"/>
  <c r="O10" i="11"/>
  <c r="N10" i="11"/>
  <c r="M10" i="11"/>
  <c r="F10" i="11"/>
  <c r="E10" i="11"/>
  <c r="C10" i="11"/>
  <c r="R9" i="11"/>
  <c r="Q9" i="11"/>
  <c r="P9" i="11"/>
  <c r="O9" i="11"/>
  <c r="N9" i="11"/>
  <c r="M9" i="11"/>
  <c r="F9" i="11"/>
  <c r="E9" i="11"/>
  <c r="C9" i="11"/>
  <c r="R8" i="11"/>
  <c r="Q8" i="11"/>
  <c r="P8" i="11"/>
  <c r="O8" i="11"/>
  <c r="N8" i="11"/>
  <c r="M8" i="11"/>
  <c r="F8" i="11"/>
  <c r="E8" i="11"/>
  <c r="C8" i="11"/>
  <c r="R7" i="11"/>
  <c r="Q7" i="11"/>
  <c r="P7" i="11"/>
  <c r="O7" i="11"/>
  <c r="N7" i="11"/>
  <c r="M7" i="11"/>
  <c r="F7" i="11"/>
  <c r="E7" i="11"/>
  <c r="C7" i="11"/>
  <c r="R6" i="11"/>
  <c r="Q6" i="11"/>
  <c r="P6" i="11"/>
  <c r="O6" i="11"/>
  <c r="N6" i="11"/>
  <c r="M6" i="11"/>
  <c r="F6" i="11"/>
  <c r="E6" i="11"/>
  <c r="C6" i="11"/>
  <c r="R5" i="11"/>
  <c r="Q5" i="11"/>
  <c r="P5" i="11"/>
  <c r="O5" i="11"/>
  <c r="N5" i="11"/>
  <c r="M5" i="11"/>
  <c r="F5" i="11"/>
  <c r="E5" i="11"/>
  <c r="C5" i="11"/>
  <c r="A36" i="10"/>
  <c r="F17" i="10"/>
  <c r="AC16" i="10"/>
  <c r="AA16" i="10"/>
  <c r="Y16" i="10"/>
  <c r="S16" i="10"/>
  <c r="Q16" i="10"/>
  <c r="O16" i="10"/>
  <c r="M16" i="10"/>
  <c r="G16" i="10"/>
  <c r="X16" i="10" s="1"/>
  <c r="AB15" i="10"/>
  <c r="Z15" i="10"/>
  <c r="X15" i="10"/>
  <c r="V15" i="10"/>
  <c r="P15" i="10"/>
  <c r="N15" i="10"/>
  <c r="L15" i="10"/>
  <c r="J15" i="10"/>
  <c r="G15" i="10"/>
  <c r="U15" i="10" s="1"/>
  <c r="Y14" i="10"/>
  <c r="W14" i="10"/>
  <c r="S14" i="10"/>
  <c r="M14" i="10"/>
  <c r="G14" i="10"/>
  <c r="AB13" i="10"/>
  <c r="AA13" i="10"/>
  <c r="V13" i="10"/>
  <c r="T13" i="10"/>
  <c r="R13" i="10"/>
  <c r="P13" i="10"/>
  <c r="O13" i="10"/>
  <c r="J13" i="10"/>
  <c r="G13" i="10"/>
  <c r="Z13" i="10" s="1"/>
  <c r="AC12" i="10"/>
  <c r="AA12" i="10"/>
  <c r="Y12" i="10"/>
  <c r="X12" i="10"/>
  <c r="S12" i="10"/>
  <c r="R12" i="10"/>
  <c r="Q12" i="10"/>
  <c r="O12" i="10"/>
  <c r="M12" i="10"/>
  <c r="L12" i="10"/>
  <c r="G12" i="10"/>
  <c r="W12" i="10" s="1"/>
  <c r="AA11" i="10"/>
  <c r="O11" i="10"/>
  <c r="N11" i="10"/>
  <c r="L11" i="10"/>
  <c r="G11" i="10"/>
  <c r="AB11" i="10" s="1"/>
  <c r="G10" i="10"/>
  <c r="X10" i="10" s="1"/>
  <c r="U9" i="10"/>
  <c r="G9" i="10"/>
  <c r="AC8" i="10"/>
  <c r="AA8" i="10"/>
  <c r="Y8" i="10"/>
  <c r="X8" i="10"/>
  <c r="S8" i="10"/>
  <c r="R8" i="10"/>
  <c r="Q8" i="10"/>
  <c r="O8" i="10"/>
  <c r="M8" i="10"/>
  <c r="L8" i="10"/>
  <c r="G8" i="10"/>
  <c r="W8" i="10" s="1"/>
  <c r="AB7" i="10"/>
  <c r="AA7" i="10"/>
  <c r="Z7" i="10"/>
  <c r="V7" i="10"/>
  <c r="P7" i="10"/>
  <c r="N7" i="10"/>
  <c r="G7" i="10"/>
  <c r="Y6" i="10"/>
  <c r="X6" i="10"/>
  <c r="W6" i="10"/>
  <c r="S6" i="10"/>
  <c r="M6" i="10"/>
  <c r="K6" i="10"/>
  <c r="G6" i="10"/>
  <c r="AB5" i="10"/>
  <c r="AA5" i="10"/>
  <c r="V5" i="10"/>
  <c r="U5" i="10"/>
  <c r="T5" i="10"/>
  <c r="P5" i="10"/>
  <c r="J5" i="10"/>
  <c r="G5" i="10"/>
  <c r="J28" i="8"/>
  <c r="I28" i="8"/>
  <c r="H28" i="8"/>
  <c r="J27" i="8"/>
  <c r="I27" i="8"/>
  <c r="H27" i="8"/>
  <c r="J26" i="8"/>
  <c r="I26" i="8"/>
  <c r="H26" i="8"/>
  <c r="J25" i="8"/>
  <c r="I25" i="8"/>
  <c r="H25" i="8"/>
  <c r="J24" i="8"/>
  <c r="I24" i="8"/>
  <c r="H24" i="8"/>
  <c r="J23" i="8"/>
  <c r="I23" i="8"/>
  <c r="H23" i="8"/>
  <c r="H22" i="8"/>
  <c r="I22" i="8" s="1"/>
  <c r="J22" i="8" s="1"/>
  <c r="H21" i="8"/>
  <c r="I21" i="8" s="1"/>
  <c r="J21" i="8" s="1"/>
  <c r="H20" i="8"/>
  <c r="I20" i="8" s="1"/>
  <c r="J20" i="8" s="1"/>
  <c r="H19" i="8"/>
  <c r="I19" i="8" s="1"/>
  <c r="J19" i="8" s="1"/>
  <c r="H18" i="8"/>
  <c r="I18" i="8" s="1"/>
  <c r="J18" i="8" s="1"/>
  <c r="H17" i="8"/>
  <c r="I17" i="8" s="1"/>
  <c r="J17" i="8" s="1"/>
  <c r="H16" i="8"/>
  <c r="I16" i="8" s="1"/>
  <c r="J16" i="8" s="1"/>
  <c r="I15" i="8"/>
  <c r="J15" i="8" s="1"/>
  <c r="H15" i="8"/>
  <c r="H14" i="8"/>
  <c r="I14" i="8" s="1"/>
  <c r="J14" i="8" s="1"/>
  <c r="C33" i="6"/>
  <c r="C32" i="6"/>
  <c r="D31" i="6"/>
  <c r="E31" i="6" s="1"/>
  <c r="C31" i="6"/>
  <c r="D33" i="6" s="1"/>
  <c r="E33" i="6" s="1"/>
  <c r="C30" i="6"/>
  <c r="D30" i="6" s="1"/>
  <c r="E30" i="6" s="1"/>
  <c r="B26" i="6"/>
  <c r="C26" i="6" s="1"/>
  <c r="B25" i="6"/>
  <c r="C25" i="6" s="1"/>
  <c r="B20" i="6"/>
  <c r="C20" i="6" s="1"/>
  <c r="B16" i="6"/>
  <c r="D16" i="6" s="1"/>
  <c r="B15" i="6"/>
  <c r="D15" i="6" s="1"/>
  <c r="B14" i="6"/>
  <c r="D14" i="6" s="1"/>
  <c r="B9" i="6"/>
  <c r="C9" i="6" s="1"/>
  <c r="I13" i="5"/>
  <c r="I14" i="5" s="1"/>
  <c r="J12" i="5"/>
  <c r="J11" i="5"/>
  <c r="J10" i="5"/>
  <c r="B8" i="6" s="1"/>
  <c r="C8" i="6" s="1"/>
  <c r="J9" i="5"/>
  <c r="K9" i="5" s="1"/>
  <c r="J8" i="5"/>
  <c r="K7" i="5"/>
  <c r="J7" i="5"/>
  <c r="O6" i="5"/>
  <c r="P6" i="5" s="1"/>
  <c r="J6" i="5"/>
  <c r="J5" i="5"/>
  <c r="B9" i="2"/>
  <c r="B13" i="1"/>
  <c r="B12" i="1"/>
  <c r="R6" i="5" l="1"/>
  <c r="S6" i="5" s="1"/>
  <c r="T6" i="5" s="1"/>
  <c r="Q6" i="5"/>
  <c r="H20" i="13"/>
  <c r="P12" i="12"/>
  <c r="D15" i="12"/>
  <c r="Q11" i="5"/>
  <c r="O11" i="5"/>
  <c r="P11" i="5" s="1"/>
  <c r="R11" i="5" s="1"/>
  <c r="S11" i="5" s="1"/>
  <c r="T11" i="5" s="1"/>
  <c r="K10" i="10"/>
  <c r="H21" i="12"/>
  <c r="G21" i="12"/>
  <c r="F21" i="12"/>
  <c r="E21" i="12"/>
  <c r="D21" i="12"/>
  <c r="C21" i="12"/>
  <c r="L21" i="12"/>
  <c r="K21" i="12"/>
  <c r="J21" i="12"/>
  <c r="I21" i="12"/>
  <c r="K11" i="5"/>
  <c r="Z9" i="10"/>
  <c r="N9" i="10"/>
  <c r="Y9" i="10"/>
  <c r="M9" i="10"/>
  <c r="X9" i="10"/>
  <c r="L9" i="10"/>
  <c r="W9" i="10"/>
  <c r="K9" i="10"/>
  <c r="S9" i="10"/>
  <c r="AC9" i="10"/>
  <c r="Q9" i="10"/>
  <c r="L10" i="10"/>
  <c r="T7" i="10"/>
  <c r="S7" i="10"/>
  <c r="R7" i="10"/>
  <c r="AC7" i="10"/>
  <c r="Q7" i="10"/>
  <c r="Y7" i="10"/>
  <c r="M7" i="10"/>
  <c r="W7" i="10"/>
  <c r="K7" i="10"/>
  <c r="J9" i="10"/>
  <c r="P11" i="10"/>
  <c r="I11" i="12"/>
  <c r="H11" i="12"/>
  <c r="S11" i="12"/>
  <c r="G11" i="12"/>
  <c r="G17" i="12" s="1"/>
  <c r="R11" i="12"/>
  <c r="E11" i="12"/>
  <c r="A23" i="12"/>
  <c r="J11" i="12"/>
  <c r="H27" i="12"/>
  <c r="G27" i="12"/>
  <c r="F27" i="12"/>
  <c r="E27" i="12"/>
  <c r="D27" i="12"/>
  <c r="C27" i="12"/>
  <c r="L27" i="12"/>
  <c r="K27" i="12"/>
  <c r="J27" i="12"/>
  <c r="I27" i="12"/>
  <c r="B22" i="6"/>
  <c r="C22" i="6" s="1"/>
  <c r="B7" i="6"/>
  <c r="C7" i="6" s="1"/>
  <c r="D11" i="12"/>
  <c r="U7" i="5"/>
  <c r="Q7" i="5"/>
  <c r="O7" i="5"/>
  <c r="P7" i="5" s="1"/>
  <c r="R7" i="5" s="1"/>
  <c r="S7" i="5" s="1"/>
  <c r="J7" i="10"/>
  <c r="O9" i="10"/>
  <c r="R10" i="10"/>
  <c r="U11" i="10"/>
  <c r="N9" i="12"/>
  <c r="L13" i="12"/>
  <c r="G20" i="13"/>
  <c r="O9" i="5"/>
  <c r="P9" i="5" s="1"/>
  <c r="R9" i="5" s="1"/>
  <c r="S9" i="5" s="1"/>
  <c r="D13" i="12"/>
  <c r="F13" i="12" s="1"/>
  <c r="C6" i="13" s="1"/>
  <c r="U9" i="5"/>
  <c r="M10" i="10"/>
  <c r="AC6" i="10"/>
  <c r="Q6" i="10"/>
  <c r="AB6" i="10"/>
  <c r="P6" i="10"/>
  <c r="AA6" i="10"/>
  <c r="O6" i="10"/>
  <c r="Z6" i="10"/>
  <c r="N6" i="10"/>
  <c r="V6" i="10"/>
  <c r="E27" i="10" s="1"/>
  <c r="J6" i="10"/>
  <c r="B27" i="10" s="1"/>
  <c r="T6" i="10"/>
  <c r="L7" i="10"/>
  <c r="P9" i="10"/>
  <c r="S10" i="10"/>
  <c r="V11" i="10"/>
  <c r="H21" i="13"/>
  <c r="P13" i="12"/>
  <c r="D9" i="12"/>
  <c r="O5" i="5"/>
  <c r="B6" i="6"/>
  <c r="R9" i="10"/>
  <c r="U10" i="10"/>
  <c r="X11" i="10"/>
  <c r="AC14" i="10"/>
  <c r="Q14" i="10"/>
  <c r="AB14" i="10"/>
  <c r="P14" i="10"/>
  <c r="AA14" i="10"/>
  <c r="O14" i="10"/>
  <c r="Z14" i="10"/>
  <c r="N14" i="10"/>
  <c r="X14" i="10"/>
  <c r="L14" i="10"/>
  <c r="V14" i="10"/>
  <c r="J14" i="10"/>
  <c r="T14" i="10"/>
  <c r="K5" i="5"/>
  <c r="O12" i="5"/>
  <c r="P12" i="5" s="1"/>
  <c r="R12" i="5" s="1"/>
  <c r="D16" i="12"/>
  <c r="K12" i="5"/>
  <c r="Z5" i="10"/>
  <c r="N5" i="10"/>
  <c r="Y5" i="10"/>
  <c r="M5" i="10"/>
  <c r="X5" i="10"/>
  <c r="L5" i="10"/>
  <c r="W5" i="10"/>
  <c r="K5" i="10"/>
  <c r="S5" i="10"/>
  <c r="AC5" i="10"/>
  <c r="Q5" i="10"/>
  <c r="L6" i="10"/>
  <c r="O7" i="10"/>
  <c r="T9" i="10"/>
  <c r="W10" i="10"/>
  <c r="Z11" i="10"/>
  <c r="K14" i="10"/>
  <c r="G23" i="13"/>
  <c r="C13" i="13"/>
  <c r="H22" i="13"/>
  <c r="P14" i="12"/>
  <c r="M15" i="12"/>
  <c r="O10" i="5"/>
  <c r="P10" i="5" s="1"/>
  <c r="R10" i="5" s="1"/>
  <c r="S10" i="5" s="1"/>
  <c r="T10" i="5" s="1"/>
  <c r="Q12" i="5"/>
  <c r="O5" i="10"/>
  <c r="R6" i="10"/>
  <c r="U7" i="10"/>
  <c r="V9" i="10"/>
  <c r="Y10" i="10"/>
  <c r="R14" i="10"/>
  <c r="D5" i="12"/>
  <c r="B14" i="1" s="1"/>
  <c r="S10" i="12"/>
  <c r="T10" i="12" s="1"/>
  <c r="U10" i="12" s="1"/>
  <c r="G10" i="12"/>
  <c r="R10" i="12"/>
  <c r="E10" i="12"/>
  <c r="A22" i="12"/>
  <c r="J10" i="12"/>
  <c r="O10" i="12" s="1"/>
  <c r="I10" i="12"/>
  <c r="H10" i="12"/>
  <c r="K10" i="12" s="1"/>
  <c r="S16" i="12"/>
  <c r="J13" i="5"/>
  <c r="K10" i="5"/>
  <c r="D14" i="12"/>
  <c r="F14" i="12" s="1"/>
  <c r="O8" i="5"/>
  <c r="P8" i="5" s="1"/>
  <c r="K8" i="5"/>
  <c r="D12" i="12"/>
  <c r="B23" i="6"/>
  <c r="C23" i="6" s="1"/>
  <c r="AA9" i="10"/>
  <c r="T11" i="10"/>
  <c r="S11" i="10"/>
  <c r="R11" i="10"/>
  <c r="AC11" i="10"/>
  <c r="Q11" i="10"/>
  <c r="Y11" i="10"/>
  <c r="M11" i="10"/>
  <c r="W11" i="10"/>
  <c r="K11" i="10"/>
  <c r="U6" i="5"/>
  <c r="B21" i="6"/>
  <c r="C21" i="6" s="1"/>
  <c r="D10" i="12"/>
  <c r="K6" i="5"/>
  <c r="B24" i="6"/>
  <c r="C24" i="6" s="1"/>
  <c r="R5" i="10"/>
  <c r="D27" i="10" s="1"/>
  <c r="U6" i="10"/>
  <c r="X7" i="10"/>
  <c r="AB9" i="10"/>
  <c r="J11" i="10"/>
  <c r="U14" i="10"/>
  <c r="F12" i="12"/>
  <c r="G24" i="13"/>
  <c r="AC10" i="10"/>
  <c r="Q10" i="10"/>
  <c r="AB10" i="10"/>
  <c r="P10" i="10"/>
  <c r="AA10" i="10"/>
  <c r="O10" i="10"/>
  <c r="Z10" i="10"/>
  <c r="N10" i="10"/>
  <c r="V10" i="10"/>
  <c r="J10" i="10"/>
  <c r="T10" i="10"/>
  <c r="E25" i="13"/>
  <c r="N8" i="10"/>
  <c r="Z8" i="10"/>
  <c r="N12" i="10"/>
  <c r="Z12" i="10"/>
  <c r="Q13" i="10"/>
  <c r="AC13" i="10"/>
  <c r="K15" i="10"/>
  <c r="W15" i="10"/>
  <c r="N16" i="10"/>
  <c r="Z16" i="10"/>
  <c r="F9" i="12"/>
  <c r="R9" i="12"/>
  <c r="T9" i="12" s="1"/>
  <c r="U9" i="12" s="1"/>
  <c r="F15" i="12"/>
  <c r="R15" i="12"/>
  <c r="T15" i="12" s="1"/>
  <c r="U15" i="12" s="1"/>
  <c r="H16" i="12"/>
  <c r="I16" i="12"/>
  <c r="M16" i="12" s="1"/>
  <c r="D32" i="6"/>
  <c r="E32" i="6" s="1"/>
  <c r="P8" i="10"/>
  <c r="AB8" i="10"/>
  <c r="P12" i="10"/>
  <c r="AB12" i="10"/>
  <c r="S13" i="10"/>
  <c r="M15" i="10"/>
  <c r="Y15" i="10"/>
  <c r="P16" i="10"/>
  <c r="AB16" i="10"/>
  <c r="H9" i="12"/>
  <c r="M9" i="12" s="1"/>
  <c r="N12" i="12"/>
  <c r="R14" i="12"/>
  <c r="T14" i="12" s="1"/>
  <c r="U14" i="12" s="1"/>
  <c r="V14" i="12" s="1"/>
  <c r="H15" i="12"/>
  <c r="K15" i="12" s="1"/>
  <c r="J16" i="12"/>
  <c r="G18" i="13"/>
  <c r="G25" i="13" s="1"/>
  <c r="U13" i="10"/>
  <c r="O15" i="10"/>
  <c r="AA15" i="10"/>
  <c r="R16" i="10"/>
  <c r="J9" i="12"/>
  <c r="R13" i="12"/>
  <c r="T13" i="12" s="1"/>
  <c r="U13" i="12" s="1"/>
  <c r="V13" i="12" s="1"/>
  <c r="H14" i="12"/>
  <c r="K14" i="12" s="1"/>
  <c r="J15" i="12"/>
  <c r="O15" i="12" s="1"/>
  <c r="A24" i="12"/>
  <c r="A25" i="12"/>
  <c r="A26" i="12"/>
  <c r="A28" i="12"/>
  <c r="T8" i="10"/>
  <c r="T12" i="10"/>
  <c r="K13" i="10"/>
  <c r="W13" i="10"/>
  <c r="Q15" i="10"/>
  <c r="AC15" i="10"/>
  <c r="T16" i="10"/>
  <c r="L9" i="12"/>
  <c r="R12" i="12"/>
  <c r="H13" i="12"/>
  <c r="K13" i="12" s="1"/>
  <c r="L15" i="12"/>
  <c r="U12" i="10"/>
  <c r="L13" i="10"/>
  <c r="X13" i="10"/>
  <c r="R15" i="10"/>
  <c r="G12" i="12"/>
  <c r="S12" i="12"/>
  <c r="T12" i="12" s="1"/>
  <c r="U12" i="12" s="1"/>
  <c r="V12" i="12" s="1"/>
  <c r="I13" i="12"/>
  <c r="M13" i="12" s="1"/>
  <c r="U8" i="10"/>
  <c r="U16" i="10"/>
  <c r="J8" i="10"/>
  <c r="B24" i="10" s="1"/>
  <c r="V8" i="10"/>
  <c r="E22" i="10" s="1"/>
  <c r="J12" i="10"/>
  <c r="V12" i="10"/>
  <c r="M13" i="10"/>
  <c r="Y13" i="10"/>
  <c r="S15" i="10"/>
  <c r="J16" i="10"/>
  <c r="B22" i="10" s="1"/>
  <c r="V16" i="10"/>
  <c r="E21" i="10" s="1"/>
  <c r="H12" i="12"/>
  <c r="L12" i="12" s="1"/>
  <c r="K8" i="10"/>
  <c r="K12" i="10"/>
  <c r="N13" i="10"/>
  <c r="T15" i="10"/>
  <c r="K16" i="10"/>
  <c r="W16" i="10"/>
  <c r="I12" i="12"/>
  <c r="E16" i="12"/>
  <c r="L16" i="10"/>
  <c r="R16" i="12"/>
  <c r="G16" i="12"/>
  <c r="B26" i="10" l="1"/>
  <c r="F16" i="12"/>
  <c r="N16" i="12"/>
  <c r="L16" i="12"/>
  <c r="Q10" i="5"/>
  <c r="E28" i="10"/>
  <c r="J22" i="13"/>
  <c r="I22" i="13"/>
  <c r="T11" i="12"/>
  <c r="U11" i="12" s="1"/>
  <c r="E23" i="10"/>
  <c r="E29" i="10" s="1"/>
  <c r="T16" i="12"/>
  <c r="U16" i="12" s="1"/>
  <c r="E26" i="10"/>
  <c r="B10" i="6"/>
  <c r="C6" i="6"/>
  <c r="C10" i="6" s="1"/>
  <c r="B25" i="10"/>
  <c r="P5" i="5"/>
  <c r="O13" i="5"/>
  <c r="H28" i="12"/>
  <c r="G28" i="12"/>
  <c r="F28" i="12"/>
  <c r="E28" i="12"/>
  <c r="D28" i="12"/>
  <c r="C28" i="12"/>
  <c r="L28" i="12"/>
  <c r="K28" i="12"/>
  <c r="J28" i="12"/>
  <c r="I28" i="12"/>
  <c r="H22" i="12"/>
  <c r="G22" i="12"/>
  <c r="F22" i="12"/>
  <c r="E22" i="12"/>
  <c r="D22" i="12"/>
  <c r="C22" i="12"/>
  <c r="L22" i="12"/>
  <c r="K22" i="12"/>
  <c r="J22" i="12"/>
  <c r="I22" i="12"/>
  <c r="K11" i="12"/>
  <c r="B28" i="10"/>
  <c r="M12" i="12"/>
  <c r="H26" i="12"/>
  <c r="G26" i="12"/>
  <c r="F26" i="12"/>
  <c r="E26" i="12"/>
  <c r="D26" i="12"/>
  <c r="C26" i="12"/>
  <c r="L26" i="12"/>
  <c r="K26" i="12"/>
  <c r="J26" i="12"/>
  <c r="I26" i="12"/>
  <c r="F10" i="12"/>
  <c r="N10" i="12"/>
  <c r="L10" i="12"/>
  <c r="U12" i="5"/>
  <c r="S12" i="5"/>
  <c r="D17" i="12"/>
  <c r="D8" i="6"/>
  <c r="E8" i="6" s="1"/>
  <c r="T9" i="5"/>
  <c r="M11" i="12"/>
  <c r="J20" i="13"/>
  <c r="I20" i="13"/>
  <c r="B23" i="10"/>
  <c r="P10" i="12"/>
  <c r="H18" i="13"/>
  <c r="H25" i="12"/>
  <c r="G25" i="12"/>
  <c r="F25" i="12"/>
  <c r="E25" i="12"/>
  <c r="D25" i="12"/>
  <c r="C25" i="12"/>
  <c r="L25" i="12"/>
  <c r="K25" i="12"/>
  <c r="J25" i="12"/>
  <c r="I25" i="12"/>
  <c r="O16" i="12"/>
  <c r="K13" i="5"/>
  <c r="Q9" i="5"/>
  <c r="T7" i="5"/>
  <c r="M14" i="12"/>
  <c r="J17" i="12"/>
  <c r="O17" i="12" s="1"/>
  <c r="P17" i="12" s="1"/>
  <c r="O9" i="12"/>
  <c r="F11" i="12"/>
  <c r="N11" i="12"/>
  <c r="L11" i="12"/>
  <c r="C25" i="10"/>
  <c r="C23" i="10"/>
  <c r="C28" i="10"/>
  <c r="C21" i="10"/>
  <c r="C27" i="10"/>
  <c r="C22" i="10"/>
  <c r="C26" i="10"/>
  <c r="F28" i="10"/>
  <c r="F21" i="10"/>
  <c r="F26" i="10"/>
  <c r="F24" i="10"/>
  <c r="F22" i="10"/>
  <c r="F27" i="10"/>
  <c r="F25" i="10"/>
  <c r="F23" i="10"/>
  <c r="C7" i="13"/>
  <c r="H24" i="12"/>
  <c r="G24" i="12"/>
  <c r="F24" i="12"/>
  <c r="E24" i="12"/>
  <c r="D24" i="12"/>
  <c r="C24" i="12"/>
  <c r="L24" i="12"/>
  <c r="K24" i="12"/>
  <c r="J24" i="12"/>
  <c r="I24" i="12"/>
  <c r="R8" i="5"/>
  <c r="Q8" i="5"/>
  <c r="B21" i="10"/>
  <c r="M10" i="12"/>
  <c r="E17" i="12"/>
  <c r="E24" i="10"/>
  <c r="I17" i="12"/>
  <c r="M17" i="12" s="1"/>
  <c r="J21" i="13"/>
  <c r="I21" i="13"/>
  <c r="U11" i="5"/>
  <c r="C24" i="10"/>
  <c r="L14" i="12"/>
  <c r="C12" i="13"/>
  <c r="P15" i="12"/>
  <c r="V15" i="12"/>
  <c r="H23" i="13"/>
  <c r="K12" i="12"/>
  <c r="U10" i="5"/>
  <c r="N13" i="12"/>
  <c r="O11" i="12"/>
  <c r="E25" i="10"/>
  <c r="H17" i="12"/>
  <c r="K17" i="12" s="1"/>
  <c r="K9" i="12"/>
  <c r="K16" i="12"/>
  <c r="D23" i="10"/>
  <c r="D28" i="10"/>
  <c r="D21" i="10"/>
  <c r="D26" i="10"/>
  <c r="D24" i="10"/>
  <c r="D22" i="10"/>
  <c r="D25" i="10"/>
  <c r="H23" i="12"/>
  <c r="G23" i="12"/>
  <c r="F23" i="12"/>
  <c r="E23" i="12"/>
  <c r="D23" i="12"/>
  <c r="C23" i="12"/>
  <c r="L23" i="12"/>
  <c r="K23" i="12"/>
  <c r="J23" i="12"/>
  <c r="I23" i="12"/>
  <c r="L17" i="12" l="1"/>
  <c r="F17" i="12"/>
  <c r="N17" i="12"/>
  <c r="C29" i="10"/>
  <c r="T12" i="5"/>
  <c r="D9" i="6"/>
  <c r="E9" i="6" s="1"/>
  <c r="S8" i="5"/>
  <c r="U8" i="5"/>
  <c r="G23" i="10"/>
  <c r="H23" i="10"/>
  <c r="Q11" i="12" s="1"/>
  <c r="C9" i="13" s="1"/>
  <c r="H28" i="10"/>
  <c r="Q16" i="12" s="1"/>
  <c r="G28" i="10"/>
  <c r="A32" i="10"/>
  <c r="B29" i="10"/>
  <c r="G25" i="10"/>
  <c r="H24" i="13"/>
  <c r="C11" i="13"/>
  <c r="P16" i="12"/>
  <c r="V16" i="12"/>
  <c r="J18" i="13"/>
  <c r="I18" i="13"/>
  <c r="G27" i="10"/>
  <c r="H27" i="10"/>
  <c r="Q14" i="12" s="1"/>
  <c r="R5" i="5"/>
  <c r="P13" i="5"/>
  <c r="Q13" i="5" s="1"/>
  <c r="Q5" i="5"/>
  <c r="G22" i="10"/>
  <c r="D29" i="10"/>
  <c r="G24" i="10"/>
  <c r="P11" i="12"/>
  <c r="H19" i="13"/>
  <c r="V11" i="12"/>
  <c r="H26" i="10"/>
  <c r="Q13" i="12" s="1"/>
  <c r="G26" i="10"/>
  <c r="A33" i="10"/>
  <c r="J23" i="13"/>
  <c r="I23" i="13"/>
  <c r="G21" i="10"/>
  <c r="H21" i="10"/>
  <c r="F29" i="10"/>
  <c r="H24" i="10" s="1"/>
  <c r="Q12" i="12" s="1"/>
  <c r="P9" i="12"/>
  <c r="H17" i="13"/>
  <c r="J17" i="13" l="1"/>
  <c r="I17" i="13"/>
  <c r="Q9" i="12"/>
  <c r="T8" i="5"/>
  <c r="D7" i="6"/>
  <c r="E7" i="6" s="1"/>
  <c r="J19" i="13"/>
  <c r="I19" i="13"/>
  <c r="J24" i="13"/>
  <c r="I24" i="13"/>
  <c r="H22" i="10"/>
  <c r="H29" i="10" s="1"/>
  <c r="H25" i="10"/>
  <c r="Q15" i="12" s="1"/>
  <c r="S5" i="5"/>
  <c r="R13" i="5"/>
  <c r="U13" i="5" s="1"/>
  <c r="U5" i="5"/>
  <c r="C10" i="13" l="1"/>
  <c r="V9" i="12"/>
  <c r="I25" i="13"/>
  <c r="Q10" i="12"/>
  <c r="A34" i="10"/>
  <c r="T5" i="5"/>
  <c r="D6" i="6"/>
  <c r="S13" i="5"/>
  <c r="T13" i="5" s="1"/>
  <c r="J25" i="13"/>
  <c r="D10" i="6" l="1"/>
  <c r="E10" i="6" s="1"/>
  <c r="E6" i="6"/>
  <c r="C8" i="13"/>
  <c r="V10" i="12"/>
  <c r="E27" i="13"/>
  <c r="H25" i="13"/>
  <c r="E29" i="13"/>
  <c r="B16" i="1" s="1"/>
  <c r="E28" i="13"/>
  <c r="B15" i="1" s="1"/>
</calcChain>
</file>

<file path=xl/sharedStrings.xml><?xml version="1.0" encoding="utf-8"?>
<sst xmlns="http://schemas.openxmlformats.org/spreadsheetml/2006/main" count="1189" uniqueCount="765">
  <si>
    <t>IKEA Egypt · Multi-Source Paid Media &amp; UTM Planning System</t>
  </si>
  <si>
    <t>Project brief</t>
  </si>
  <si>
    <t>Brand</t>
  </si>
  <si>
    <t>IKEA Egypt (Al-Futtaim franchise, 3 stores, room planner, IKEA Family, click-and-collect)</t>
  </si>
  <si>
    <t>Target</t>
  </si>
  <si>
    <t>Mariam Adel: first-time furnisher, compound couples in New Cairo and 6th of October. Gehaz families excluded.</t>
  </si>
  <si>
    <t>Goal</t>
  </si>
  <si>
    <t>Sell the New Home Starter Bundle profitably across 7 paid sources + CRM in a 30-day test, then reallocate budget from evidence.</t>
  </si>
  <si>
    <t>Scope</t>
  </si>
  <si>
    <t>Funnel objectives, audience stages, budget split, UTM convention, tracking plan, attribution comparison, simulated-data optimization.</t>
  </si>
  <si>
    <t>North star: revenue after ad spend at margin. Supporting: CTR (traffic), CVR (conversion), CPA (cost), ROAS (value).</t>
  </si>
  <si>
    <t>Headline results (live)</t>
  </si>
  <si>
    <t>Test-month spend (EGP)</t>
  </si>
  <si>
    <t>Test-month revenue (EGP)</t>
  </si>
  <si>
    <t>Blended ROAS vs target</t>
  </si>
  <si>
    <t>Projected ROAS after reallocation</t>
  </si>
  <si>
    <t>Projected extra revenue next month (EGP)</t>
  </si>
  <si>
    <t>How the sheets connect</t>
  </si>
  <si>
    <t>Inputs</t>
  </si>
  <si>
    <t>Budget, AOV, margin, targets, thresholds. Change here, everything updates.</t>
  </si>
  <si>
    <t>Funnel &amp; Audiences</t>
  </si>
  <si>
    <t>Who we reach at each stage, with what message and which offer.</t>
  </si>
  <si>
    <t>Audience &amp; Retargeting</t>
  </si>
  <si>
    <t>Cold / warm / hot / customer tiers, windows, exclusions, frequency, retargeting sequence.</t>
  </si>
  <si>
    <t>Media Plan</t>
  </si>
  <si>
    <t>8 campaigns: platform, stage, tier, budget, benchmarks, forecast, learning objective per line.</t>
  </si>
  <si>
    <t>Budget Split</t>
  </si>
  <si>
    <t>Stage / tier / platform / weekly views of the plan.</t>
  </si>
  <si>
    <t>Creative Testing</t>
  </si>
  <si>
    <t>Offer ladder, 9 copy-led ad concepts, 6 one-variable creative tests with decision rules.</t>
  </si>
  <si>
    <t>UTM Builder</t>
  </si>
  <si>
    <t>Naming convention + auto-built tracked URLs for every campaign.</t>
  </si>
  <si>
    <t>Tracking Plan</t>
  </si>
  <si>
    <t>GA4 events, GTM triggers, pixel mapping, launch QA checklist.</t>
  </si>
  <si>
    <t>Attribution</t>
  </si>
  <si>
    <t>Same 12 journeys under last click, first click, linear, position-based.</t>
  </si>
  <si>
    <t>Sample Data</t>
  </si>
  <si>
    <t>Simulated daily export for the test month (240 rows).</t>
  </si>
  <si>
    <t>Dashboard</t>
  </si>
  <si>
    <t>Scorecard, weekly trends, automatic SCALE / HOLD / KEEP / CUT status.</t>
  </si>
  <si>
    <t>Optimization</t>
  </si>
  <si>
    <t>Findings, budget reallocation with projected ROAS, next tests.</t>
  </si>
  <si>
    <t>Legend &amp; honesty note</t>
  </si>
  <si>
    <t>Blue text</t>
  </si>
  <si>
    <t>Editable input</t>
  </si>
  <si>
    <t>Yellow fill</t>
  </si>
  <si>
    <t>Key assumption to confirm</t>
  </si>
  <si>
    <t>Green text</t>
  </si>
  <si>
    <t>Link to another sheet</t>
  </si>
  <si>
    <t>Black text</t>
  </si>
  <si>
    <t>Formula</t>
  </si>
  <si>
    <t>Data note</t>
  </si>
  <si>
    <t>Benchmarks are illustrative planning ranges. Sample Data is simulated for the case study and is not IKEA Egypt performance data.</t>
  </si>
  <si>
    <t>Inputs &amp; Assumptions</t>
  </si>
  <si>
    <t>Blue text = editable input. Yellow fill = key assumption to confirm. Every other sheet reads from here.</t>
  </si>
  <si>
    <t>Input</t>
  </si>
  <si>
    <t>Value</t>
  </si>
  <si>
    <t>Unit</t>
  </si>
  <si>
    <t>Note / source</t>
  </si>
  <si>
    <t>Monthly paid media budget</t>
  </si>
  <si>
    <t>EGP</t>
  </si>
  <si>
    <t>Flight length</t>
  </si>
  <si>
    <t>days</t>
  </si>
  <si>
    <t>One test month (Nov 2026).</t>
  </si>
  <si>
    <t>Average order value (AOV)</t>
  </si>
  <si>
    <t>Gross margin</t>
  </si>
  <si>
    <t>%</t>
  </si>
  <si>
    <t>Illustrative assumption for furniture retail. Drives break-even ROAS.</t>
  </si>
  <si>
    <t>Break-even ROAS</t>
  </si>
  <si>
    <t>x</t>
  </si>
  <si>
    <t>Formula: 1 / gross margin. Below this a campaign loses money on a last-click basis.</t>
  </si>
  <si>
    <t>Target ROAS (blended)</t>
  </si>
  <si>
    <t>Business target for the month.</t>
  </si>
  <si>
    <t>Target CPA</t>
  </si>
  <si>
    <t>Formula: AOV / target ROAS.</t>
  </si>
  <si>
    <t>Scale threshold</t>
  </si>
  <si>
    <t>x target</t>
  </si>
  <si>
    <t>A campaign is flagged SCALE when ROAS &gt;= target x this value.</t>
  </si>
  <si>
    <t>Assist-credit threshold</t>
  </si>
  <si>
    <t>Upper-funnel campaigns below break-even are kept only if position-based credit share &gt;= this.</t>
  </si>
  <si>
    <t>Fatigue threshold (CTR drop W1 to W4)</t>
  </si>
  <si>
    <t>CTR falling more than this between week 1 and week 4 flags creative fatigue.</t>
  </si>
  <si>
    <t>Scaling efficiency on added budget</t>
  </si>
  <si>
    <t>Diminishing returns haircut applied to extra budget in the reallocation model.</t>
  </si>
  <si>
    <t>Landing page base URL</t>
  </si>
  <si>
    <t>https://new-home-starter-bundle.lovable.app/</t>
  </si>
  <si>
    <t>URL</t>
  </si>
  <si>
    <t>Offer code (for campaign names)</t>
  </si>
  <si>
    <t>nhsb</t>
  </si>
  <si>
    <t>text</t>
  </si>
  <si>
    <t>nhsb = New Home Starter Bundle.</t>
  </si>
  <si>
    <t>Flight (YYYYMM)</t>
  </si>
  <si>
    <t>202611</t>
  </si>
  <si>
    <t>Used in every campaign name.</t>
  </si>
  <si>
    <t>Funnel Stages, Audiences &amp; Messaging</t>
  </si>
  <si>
    <t>Stage</t>
  </si>
  <si>
    <t>Mariam's mindset</t>
  </si>
  <si>
    <t>Campaign objective</t>
  </si>
  <si>
    <t>Platforms</t>
  </si>
  <si>
    <t>Audience (include)</t>
  </si>
  <si>
    <t>Exclude</t>
  </si>
  <si>
    <t>Message angle</t>
  </si>
  <si>
    <t>Primary KPI</t>
  </si>
  <si>
    <t>Lookback window</t>
  </si>
  <si>
    <t>TOFU · Awareness</t>
  </si>
  <si>
    <t>"We just got the keys. Where do we even start?"</t>
  </si>
  <si>
    <t>Reach / video views, build warm pools</t>
  </si>
  <si>
    <t>TikTok, YouTube</t>
  </si>
  <si>
    <t>Age 24-34, Cairo &amp; Giza, New Cairo + 6th of October compounds; interests: home decor, interior design, newly engaged/married; in-market: home furnishings (YouTube)</t>
  </si>
  <si>
    <t>Existing purchasers 180d; IKEA Family members</t>
  </si>
  <si>
    <t>Your first apartment, planned in one afternoon</t>
  </si>
  <si>
    <t>Entry: free Small Space Planning Session</t>
  </si>
  <si>
    <t>CPM, 2s/6s view rate, thumb-stop rate</t>
  </si>
  <si>
    <t>n/a (cold)</t>
  </si>
  <si>
    <t>MOFU · Consideration</t>
  </si>
  <si>
    <t>"Is IKEA right for our space and our budget?"</t>
  </si>
  <si>
    <t>Traffic / engagement to room planner and bundle page</t>
  </si>
  <si>
    <t>Meta (FB+IG), Snapchat</t>
  </si>
  <si>
    <t>Video viewers 50% (TikTok/YouTube/Meta) 30d; IG/FB engagers 60d; 1% lookalike of purchasers; room-planner starters</t>
  </si>
  <si>
    <t>Purchasers 180d; add-to-cart 14d (handled in BOFU)</t>
  </si>
  <si>
    <t>Fixed price, delivered on the day we promise (ownable claim: delivery reliability)</t>
  </si>
  <si>
    <t>Core: New Home Starter Bundle</t>
  </si>
  <si>
    <t>CTR, CPC, landing page view rate, planner starts</t>
  </si>
  <si>
    <t>30-60 days</t>
  </si>
  <si>
    <t>BOFU · Conversion</t>
  </si>
  <si>
    <t>"We are ready, just need a reason to buy now."</t>
  </si>
  <si>
    <t>Sales / purchase conversion</t>
  </si>
  <si>
    <t>Google Search, Google PMax/Shopping, Meta Retargeting (catalog)</t>
  </si>
  <si>
    <t>High-intent keywords (ikea egypt, furniture new cairo, bedroom set price); product feed; view content 30d + add-to-cart 14d</t>
  </si>
  <si>
    <t>Purchasers 30d; brand-safety negatives (used, second hand, carpenter)</t>
  </si>
  <si>
    <t>The full starter bundle, delivered and assembled, risk-free</t>
  </si>
  <si>
    <t>Retargeting: bundle + risk reversal (delivery guarantee, easy returns)</t>
  </si>
  <si>
    <t>CVR, CPA, ROAS</t>
  </si>
  <si>
    <t>7-30 days</t>
  </si>
  <si>
    <t>CARE · Retention</t>
  </si>
  <si>
    <t>"The bedroom is done. Now the living room."</t>
  </si>
  <si>
    <t>Repeat purchase / cross-sell</t>
  </si>
  <si>
    <t>Email + WhatsApp (IKEA Family)</t>
  </si>
  <si>
    <t>Purchasers 7-180d; IKEA Family members; abandoned checkout 3d</t>
  </si>
  <si>
    <t>Unsubscribed / opted out; purchasers in last 7d</t>
  </si>
  <si>
    <t>Room #2 bundle + IKEA Family perk</t>
  </si>
  <si>
    <t>Repeat rate, ROAS, CTR on sends</t>
  </si>
  <si>
    <t>180 days</t>
  </si>
  <si>
    <t>Audience &amp; Retargeting Structure · cold / warm / hot</t>
  </si>
  <si>
    <t>Temperature</t>
  </si>
  <si>
    <t>Audience definition</t>
  </si>
  <si>
    <t>Window</t>
  </si>
  <si>
    <t>Platforms / campaigns</t>
  </si>
  <si>
    <t>Frequency cap</t>
  </si>
  <si>
    <t>Message job</t>
  </si>
  <si>
    <t>Creative (existing assets)</t>
  </si>
  <si>
    <t>Est. pool size</t>
  </si>
  <si>
    <t>COLD</t>
  </si>
  <si>
    <t>Interest + lookalike: 24-34, Cairo &amp; Giza compounds, home decor, newly married; 1% LAL of purchasers</t>
  </si>
  <si>
    <t>n/a</t>
  </si>
  <si>
    <t>TikTok C01, YouTube C02, Snapchat C03, Meta LAL inside C04</t>
  </si>
  <si>
    <t>Site visitors 30d, purchasers 180d</t>
  </si>
  <si>
    <t>2 / week</t>
  </si>
  <si>
    <t>Problem + aspiration: first apartment, planned in one afternoon</t>
  </si>
  <si>
    <t>Spark Ads on IKEA room tours, catalog carousels</t>
  </si>
  <si>
    <t>Large (hundreds of thousands)</t>
  </si>
  <si>
    <t>WARM</t>
  </si>
  <si>
    <t>Video viewers 50% (TikTok, YouTube, Meta), IG/FB engagers, landing page visitors without product view, room-planner starters</t>
  </si>
  <si>
    <t>Meta C04, TikTok retargeting test</t>
  </si>
  <si>
    <t>ATC 14d, purchasers 30d</t>
  </si>
  <si>
    <t>3 / week</t>
  </si>
  <si>
    <t>Proof + ownable claim: fixed price, delivered on the promised day</t>
  </si>
  <si>
    <t>Testimonial-style captions on catalog Reels</t>
  </si>
  <si>
    <t>Medium (tens of thousands), grows with COLD spend</t>
  </si>
  <si>
    <t>HOT</t>
  </si>
  <si>
    <t>View content 30d, add to cart 14d, begin checkout 7d, high-intent searchers</t>
  </si>
  <si>
    <t>Meta retargeting C07, Google Search C05, PMax C06</t>
  </si>
  <si>
    <t>Purchasers 30d</t>
  </si>
  <si>
    <t>4-5 / week, cap 3 / day</t>
  </si>
  <si>
    <t>Risk reversal + urgency: delivery guarantee, cash on delivery, easy returns</t>
  </si>
  <si>
    <t>Dynamic product ads with COD + delivery-date overlay text</t>
  </si>
  <si>
    <t>Small (low thousands), capped by WARM size</t>
  </si>
  <si>
    <t>CUSTOMERS</t>
  </si>
  <si>
    <t>Purchasers 7-180d, IKEA Family members</t>
  </si>
  <si>
    <t>Email + WhatsApp C08</t>
  </si>
  <si>
    <t>Purchased in last 7d, opted out</t>
  </si>
  <si>
    <t>1-2 messages / week</t>
  </si>
  <si>
    <t>Full Apartment Plan: the next room, same easy delivery</t>
  </si>
  <si>
    <t>Text templates, no design needed</t>
  </si>
  <si>
    <t>Grows with every order</t>
  </si>
  <si>
    <t>Retargeting sequence (hot path, by days since last action)</t>
  </si>
  <si>
    <t>Days since action</t>
  </si>
  <si>
    <t>Trigger</t>
  </si>
  <si>
    <t>Channel</t>
  </si>
  <si>
    <t>Message</t>
  </si>
  <si>
    <t>0-1</t>
  </si>
  <si>
    <t>Begin checkout, no purchase</t>
  </si>
  <si>
    <t>WhatsApp (C08 flow)</t>
  </si>
  <si>
    <t>"Your bundle is saved. Want us to hold your delivery date?"</t>
  </si>
  <si>
    <t>Recover checkout</t>
  </si>
  <si>
    <t>1-3</t>
  </si>
  <si>
    <t>Add to cart, no purchase</t>
  </si>
  <si>
    <t>Meta DPA (C07)</t>
  </si>
  <si>
    <t>Product seen + 'Pay cash on delivery'</t>
  </si>
  <si>
    <t>Remove payment friction</t>
  </si>
  <si>
    <t>4-14</t>
  </si>
  <si>
    <t>Add to cart or view content</t>
  </si>
  <si>
    <t>Meta DPA + Google remarketing via PMax</t>
  </si>
  <si>
    <t>Delivery date guarantee + illustrative review</t>
  </si>
  <si>
    <t>Remove trust friction</t>
  </si>
  <si>
    <t>15-30</t>
  </si>
  <si>
    <t>View content only</t>
  </si>
  <si>
    <t>Meta (C04 warm)</t>
  </si>
  <si>
    <t>Free planning session (Entry offer)</t>
  </si>
  <si>
    <t>Re-open the journey with a low-commitment offer</t>
  </si>
  <si>
    <t>Purchase +7</t>
  </si>
  <si>
    <t>Purchase</t>
  </si>
  <si>
    <t>WhatsApp</t>
  </si>
  <si>
    <t>Delivery + assembly check-in, review request</t>
  </si>
  <si>
    <t>Satisfaction, social proof</t>
  </si>
  <si>
    <t>Purchase +30</t>
  </si>
  <si>
    <t>Email + WhatsApp</t>
  </si>
  <si>
    <t>Room #2 checklist from the Full Apartment Plan</t>
  </si>
  <si>
    <t>Multi-Source Paid Media Plan · 30 days</t>
  </si>
  <si>
    <t>Blue = benchmark inputs (illustrative Egypt ranges, adjust to your account history). Black = formulas. Formats reuse existing IKEA assets: no new production.</t>
  </si>
  <si>
    <t>ID</t>
  </si>
  <si>
    <t>Platform</t>
  </si>
  <si>
    <t>Attribution channel</t>
  </si>
  <si>
    <t>70/20/10 tier</t>
  </si>
  <si>
    <t>Objective / bid strategy</t>
  </si>
  <si>
    <t>Audience</t>
  </si>
  <si>
    <t>Format (existing assets)</t>
  </si>
  <si>
    <t>Budget share</t>
  </si>
  <si>
    <t>Budget (EGP)</t>
  </si>
  <si>
    <t>Daily (EGP)</t>
  </si>
  <si>
    <t>CPM (EGP)</t>
  </si>
  <si>
    <t>CTR</t>
  </si>
  <si>
    <t>CVR (click to purchase)</t>
  </si>
  <si>
    <t>Est. impressions</t>
  </si>
  <si>
    <t>Est. clicks</t>
  </si>
  <si>
    <t>Est. CPC</t>
  </si>
  <si>
    <t>Est. purchases</t>
  </si>
  <si>
    <t>Est. revenue</t>
  </si>
  <si>
    <t>Est. ROAS</t>
  </si>
  <si>
    <t>Est. CPA</t>
  </si>
  <si>
    <t>Learning objective (what this line must teach us)</t>
  </si>
  <si>
    <t>C01</t>
  </si>
  <si>
    <t>TikTok</t>
  </si>
  <si>
    <t>TOFU</t>
  </si>
  <si>
    <t>Growth (20)</t>
  </si>
  <si>
    <t>Reach then Video Views, max delivery</t>
  </si>
  <si>
    <t>Cold 24-34, Cairo/Giza compounds, home decor + newly married</t>
  </si>
  <si>
    <t>Spark Ads boosting IKEA organic room tours</t>
  </si>
  <si>
    <t>CPM, 6s view rate</t>
  </si>
  <si>
    <t>Can TikTok build a warm pool cheaply enough to feed Search and retargeting? Judge on CPM, 6s view rate and assist share.</t>
  </si>
  <si>
    <t>C02</t>
  </si>
  <si>
    <t>YouTube</t>
  </si>
  <si>
    <t>Test (10)</t>
  </si>
  <si>
    <t>Video reach (Bumper 6s), target CPM</t>
  </si>
  <si>
    <t>In-market: home furnishings, Egypt</t>
  </si>
  <si>
    <t>Cut-downs of IKEA global brand films</t>
  </si>
  <si>
    <t>CPM, view rate</t>
  </si>
  <si>
    <t>Do YouTube Bumpers add reach TikTok misses at an acceptable CPM? Test line.</t>
  </si>
  <si>
    <t>C03</t>
  </si>
  <si>
    <t>Snapchat</t>
  </si>
  <si>
    <t>MOFU</t>
  </si>
  <si>
    <t>Traffic, landing page views</t>
  </si>
  <si>
    <t>Lifestyle 20-30, Cairo/Giza</t>
  </si>
  <si>
    <t>Single image / collection ads from catalog</t>
  </si>
  <si>
    <t>CTR, CPC</t>
  </si>
  <si>
    <t>Does Snapchat's 20-30 audience turn into planner visits for a first-home offer? Test line.</t>
  </si>
  <si>
    <t>C04</t>
  </si>
  <si>
    <t>Meta</t>
  </si>
  <si>
    <t>Meta Prospecting</t>
  </si>
  <si>
    <t>Proven (70)</t>
  </si>
  <si>
    <t>Traffic to room planner + bundle, LPV</t>
  </si>
  <si>
    <t>Video viewers 50% 30d, engagers 60d, LAL 1% buyers</t>
  </si>
  <si>
    <t>Reels + carousel from existing catalog shots</t>
  </si>
  <si>
    <t>CTR, CPC, LPV</t>
  </si>
  <si>
    <t>Which angle (delivery, price, planning) wins on CTR and cost per landing page view?</t>
  </si>
  <si>
    <t>C05</t>
  </si>
  <si>
    <t>Google Search</t>
  </si>
  <si>
    <t>BOFU</t>
  </si>
  <si>
    <t>Sales, Max conversion value (tROAS later)</t>
  </si>
  <si>
    <t>Brand + generic high-intent keywords</t>
  </si>
  <si>
    <t>Responsive search ads + sitelinks</t>
  </si>
  <si>
    <t>How much high-intent demand exists, and what CPA can Search hold as budget grows?</t>
  </si>
  <si>
    <t>C06</t>
  </si>
  <si>
    <t>Google PMax</t>
  </si>
  <si>
    <t>Sales, Max conversion value, feed-only</t>
  </si>
  <si>
    <t>Product feed: bedroom, living, kitchen bundles</t>
  </si>
  <si>
    <t>Shopping feed (no new creative)</t>
  </si>
  <si>
    <t>ROAS</t>
  </si>
  <si>
    <t>Can a feed-only PMax hit target ROAS without new creative?</t>
  </si>
  <si>
    <t>C07</t>
  </si>
  <si>
    <t>Meta Retargeting</t>
  </si>
  <si>
    <t>Sales, Advantage+ catalog (DPA)</t>
  </si>
  <si>
    <t>View content 30d + ATC 14d, excl. buyers 30d</t>
  </si>
  <si>
    <t>Dynamic product ads</t>
  </si>
  <si>
    <t>ROAS, frequency</t>
  </si>
  <si>
    <t>Which window and frequency (7 / 14 / 30d) maximise retargeting ROAS before fatigue?</t>
  </si>
  <si>
    <t>C08</t>
  </si>
  <si>
    <t>Email/WhatsApp</t>
  </si>
  <si>
    <t>CARE</t>
  </si>
  <si>
    <t>Automated flows: cart, post-purchase, room #2</t>
  </si>
  <si>
    <t>Buyers 7-180d, IKEA Family, abandoned checkout 3d</t>
  </si>
  <si>
    <t>Text templates (no design)</t>
  </si>
  <si>
    <t>Repeat rate, ROAS</t>
  </si>
  <si>
    <t>What share of buyers order a second room within 90 days?</t>
  </si>
  <si>
    <t>TOTAL / BLENDED</t>
  </si>
  <si>
    <t>Notes</t>
  </si>
  <si>
    <t>1. Upper-funnel lines (TikTok, YouTube) are not expected to hit ROAS on last click. They are judged on CPM/view rate here and on assist credit in the Attribution sheet.</t>
  </si>
  <si>
    <t>2. C08 'CPM' = cost per 1,000 sends (WhatsApp Business conversation fees + email tool), 'CTR' = click rate on sends.</t>
  </si>
  <si>
    <t>3. CPM / CTR / CVR are illustrative planning benchmarks, not IKEA Egypt actuals. Replace them with account history once available.</t>
  </si>
  <si>
    <t>4. Google Ads keeps auto-tagging (gclid) ON; UTMs are added through the Final URL suffix so GA4, Looker Studio and the CRM all read the same campaign names.</t>
  </si>
  <si>
    <t>All values are formulas reading the Media Plan. Change shares there.</t>
  </si>
  <si>
    <t>1. By funnel stage</t>
  </si>
  <si>
    <t>Share</t>
  </si>
  <si>
    <t>Role</t>
  </si>
  <si>
    <t>Create demand, fill warm pools</t>
  </si>
  <si>
    <t>Educate, drive planner + bundle visits</t>
  </si>
  <si>
    <t>Capture demand, sell</t>
  </si>
  <si>
    <t>Repeat purchase, Full Apartment Plan</t>
  </si>
  <si>
    <t>Total</t>
  </si>
  <si>
    <t>Tier</t>
  </si>
  <si>
    <t>Planned share</t>
  </si>
  <si>
    <t>Rule share</t>
  </si>
  <si>
    <t>Gap</t>
  </si>
  <si>
    <t>Platforms in tier</t>
  </si>
  <si>
    <t>Meta MOFU, Google Search, PMax, Meta Retargeting</t>
  </si>
  <si>
    <t>TikTok, Email + WhatsApp</t>
  </si>
  <si>
    <t>YouTube, Snapchat</t>
  </si>
  <si>
    <t>3. By platform</t>
  </si>
  <si>
    <t>4. Weekly pacing (even daily pacing)</t>
  </si>
  <si>
    <t>Week</t>
  </si>
  <si>
    <t>Days</t>
  </si>
  <si>
    <t>Planned spend (EGP)</t>
  </si>
  <si>
    <t>Cumulative</t>
  </si>
  <si>
    <t>Cumulative %</t>
  </si>
  <si>
    <t>Week 1</t>
  </si>
  <si>
    <t>Week 2</t>
  </si>
  <si>
    <t>Week 3</t>
  </si>
  <si>
    <t>Week 4</t>
  </si>
  <si>
    <t>Week 4 includes days 29-30 so the month closes in four reporting weeks.</t>
  </si>
  <si>
    <t>Offer Ladder, Ad Concepts &amp; Creative Testing Plan</t>
  </si>
  <si>
    <t>Copy-led concepts on existing IKEA assets (catalog shots, organic room tours): no new photo or video production needed.</t>
  </si>
  <si>
    <t>Rung</t>
  </si>
  <si>
    <t>Offer</t>
  </si>
  <si>
    <t>Value stack</t>
  </si>
  <si>
    <t>Risk reversal</t>
  </si>
  <si>
    <t>Used in</t>
  </si>
  <si>
    <t>Entry</t>
  </si>
  <si>
    <t>Free Small Space Planning Session (room planner, 30 min)</t>
  </si>
  <si>
    <t>Personal floor plan + shopping list for the whole apartment</t>
  </si>
  <si>
    <t>No purchase needed</t>
  </si>
  <si>
    <t>COLD / WARM: C01, C02, C04</t>
  </si>
  <si>
    <t>Core</t>
  </si>
  <si>
    <t>New Home Starter Bundle, from 4,500 EGP</t>
  </si>
  <si>
    <t>Bedroom, living and kitchen essentials in one order, one delivery date</t>
  </si>
  <si>
    <t>Delivery date guarantee, easy returns</t>
  </si>
  <si>
    <t>HOT: C05, C06</t>
  </si>
  <si>
    <t>Retargeting</t>
  </si>
  <si>
    <t>Bundle + cash on delivery + assembly booked on the delivery day</t>
  </si>
  <si>
    <t>Same bundle, zero payment and assembly friction</t>
  </si>
  <si>
    <t>Pay on delivery, assembly slot confirmed by WhatsApp</t>
  </si>
  <si>
    <t>HOT: C07, checkout recovery</t>
  </si>
  <si>
    <t>Retention</t>
  </si>
  <si>
    <t>Full Apartment Plan: room #2 checklist + IKEA Family perk</t>
  </si>
  <si>
    <t>Next room planned in the same style</t>
  </si>
  <si>
    <t>Same delivery guarantee</t>
  </si>
  <si>
    <t>CUSTOMERS: C08</t>
  </si>
  <si>
    <t>2. Ad concepts (copy only, existing assets)</t>
  </si>
  <si>
    <t>#</t>
  </si>
  <si>
    <t>Campaign</t>
  </si>
  <si>
    <t>Angle</t>
  </si>
  <si>
    <t>Hook (first line / first 2s)</t>
  </si>
  <si>
    <t>Primary text</t>
  </si>
  <si>
    <t>CTA</t>
  </si>
  <si>
    <t>Asset source</t>
  </si>
  <si>
    <t>A1</t>
  </si>
  <si>
    <t>C01 TikTok</t>
  </si>
  <si>
    <t>Aspiration</t>
  </si>
  <si>
    <t>"We got the keys on Thursday. By Saturday it looked like this."</t>
  </si>
  <si>
    <t>Your first apartment, planned in one afternoon. Free planning session with the room planner.</t>
  </si>
  <si>
    <t>Book free session</t>
  </si>
  <si>
    <t>Spark Ad on an IKEA organic room tour</t>
  </si>
  <si>
    <t>A2</t>
  </si>
  <si>
    <t>Problem</t>
  </si>
  <si>
    <t>"Three carpenters, three different dates, zero furniture."</t>
  </si>
  <si>
    <t>One plan, one bundle, one delivery date you can count on.</t>
  </si>
  <si>
    <t>See the bundle</t>
  </si>
  <si>
    <t>Spark Ad, room tour cut</t>
  </si>
  <si>
    <t>A3</t>
  </si>
  <si>
    <t>Social proof</t>
  </si>
  <si>
    <t>"POV: your compound neighbors ask who did your living room."</t>
  </si>
  <si>
    <t>The New Home Starter Bundle: bedroom, living and kitchen essentials.</t>
  </si>
  <si>
    <t>Plan my apartment</t>
  </si>
  <si>
    <t>Spark Ad, before/after organic post</t>
  </si>
  <si>
    <t>A4</t>
  </si>
  <si>
    <t>C04 Meta</t>
  </si>
  <si>
    <t>Delivery promise</t>
  </si>
  <si>
    <t>Delivered on the day we promise. Assembled the same day.</t>
  </si>
  <si>
    <t>Stop chasing delivery windows. The Starter Bundle comes with a delivery date guarantee.</t>
  </si>
  <si>
    <t>Learn more</t>
  </si>
  <si>
    <t>Catalog Reel</t>
  </si>
  <si>
    <t>A5</t>
  </si>
  <si>
    <t>Price clarity</t>
  </si>
  <si>
    <t>Your whole first apartment, from 4,500 EGP. No surprises.</t>
  </si>
  <si>
    <t>Fixed price, no hidden costs, cash on delivery available.</t>
  </si>
  <si>
    <t>Shop now</t>
  </si>
  <si>
    <t>Catalog carousel</t>
  </si>
  <si>
    <t>A6</t>
  </si>
  <si>
    <t>Planning</t>
  </si>
  <si>
    <t>Not sure what fits a 120 m² apartment? We'll plan it with you.</t>
  </si>
  <si>
    <t>Free 30-minute planning session with the IKEA room planner.</t>
  </si>
  <si>
    <t>Book now</t>
  </si>
  <si>
    <t>Carousel of planner screenshots</t>
  </si>
  <si>
    <t>A7</t>
  </si>
  <si>
    <t>C05 Search</t>
  </si>
  <si>
    <t>Intent</t>
  </si>
  <si>
    <t>Headline: Furnish Your New Apartment | Starter Bundle From 4,500 EGP</t>
  </si>
  <si>
    <t>Bedroom, living &amp; kitchen essentials. Delivery date guaranteed. Cash on delivery.</t>
  </si>
  <si>
    <t>Shop the bundle</t>
  </si>
  <si>
    <t>Responsive search ad</t>
  </si>
  <si>
    <t>A8</t>
  </si>
  <si>
    <t>C07 Meta DPA</t>
  </si>
  <si>
    <t>Still thinking about it? Pay cash on delivery.</t>
  </si>
  <si>
    <t>Your saved items, delivered on the date you choose, with easy returns.</t>
  </si>
  <si>
    <t>Complete order</t>
  </si>
  <si>
    <t>Dynamic product ad</t>
  </si>
  <si>
    <t>A9</t>
  </si>
  <si>
    <t>C08 WhatsApp</t>
  </si>
  <si>
    <t>"Bedroom done? Let's plan the living room."</t>
  </si>
  <si>
    <t>Your Full Apartment Plan is ready: room #2 checklist + IKEA Family perk.</t>
  </si>
  <si>
    <t>See room #2</t>
  </si>
  <si>
    <t>Text template</t>
  </si>
  <si>
    <t>3. Creative testing plan (one variable at a time)</t>
  </si>
  <si>
    <t>Test</t>
  </si>
  <si>
    <t>Variable tested</t>
  </si>
  <si>
    <t>Variants</t>
  </si>
  <si>
    <t>Held constant</t>
  </si>
  <si>
    <t>Budget split</t>
  </si>
  <si>
    <t>Success metric</t>
  </si>
  <si>
    <t>Stop / decision rule</t>
  </si>
  <si>
    <t>T1 Hook test</t>
  </si>
  <si>
    <t>Opening hook</t>
  </si>
  <si>
    <t>A1 vs A2 vs A3</t>
  </si>
  <si>
    <t>Audience, asset family, CTA, bid</t>
  </si>
  <si>
    <t>Equal thirds of C01 for 7 days</t>
  </si>
  <si>
    <t>6s view rate, CPM</t>
  </si>
  <si>
    <t>Winner needs &gt;= 15% higher 6s view rate after 10,000 impressions per arm; loser paused</t>
  </si>
  <si>
    <t>T2 Angle test</t>
  </si>
  <si>
    <t>A4 delivery vs A5 price vs A6 planning</t>
  </si>
  <si>
    <t>Warm audience, format, landing page</t>
  </si>
  <si>
    <t>Equal thirds, ad-set level</t>
  </si>
  <si>
    <t>CTR, cost per landing page view</t>
  </si>
  <si>
    <t>Run 14 days or 1,000 clicks per arm; keep the top angle, reuse it in Search ad copy</t>
  </si>
  <si>
    <t>T3 Creative refresh</t>
  </si>
  <si>
    <t>Rotation cadence</t>
  </si>
  <si>
    <t>3 static Reels vs 6 assets rotated every 10 days</t>
  </si>
  <si>
    <t>Audience, budget, objective</t>
  </si>
  <si>
    <t>50 / 50</t>
  </si>
  <si>
    <t>CTR trend W1 to W4, CPM</t>
  </si>
  <si>
    <t>If rotation keeps CTR drop under 25%, make it standard (fatigue rule on Dashboard)</t>
  </si>
  <si>
    <t>T4 DPA overlay</t>
  </si>
  <si>
    <t>C07 Meta</t>
  </si>
  <si>
    <t>Overlay text</t>
  </si>
  <si>
    <t>'Cash on delivery' vs 'Delivered on your date' vs none</t>
  </si>
  <si>
    <t>Catalog, audience windows</t>
  </si>
  <si>
    <t>Equal thirds</t>
  </si>
  <si>
    <t>ROAS, CVR</t>
  </si>
  <si>
    <t>Call after 50 purchases per arm or 21 days; else keep current</t>
  </si>
  <si>
    <t>T5 RSA pinning</t>
  </si>
  <si>
    <t>Headline 1</t>
  </si>
  <si>
    <t>Price-led vs delivery-led pinned headline</t>
  </si>
  <si>
    <t>Keywords, bids, landing page</t>
  </si>
  <si>
    <t>Campaign experiment 50 / 50</t>
  </si>
  <si>
    <t>CTR, CVR, CPA</t>
  </si>
  <si>
    <t>Use Google Ads experiment significance (95%)</t>
  </si>
  <si>
    <t>T6 WhatsApp copy</t>
  </si>
  <si>
    <t>Opening line</t>
  </si>
  <si>
    <t>Question vs checklist-first</t>
  </si>
  <si>
    <t>Audience, send time</t>
  </si>
  <si>
    <t>50 / 50 of buyers 30d</t>
  </si>
  <si>
    <t>Click rate, room #2 orders</t>
  </si>
  <si>
    <t>After 500 sends per arm; keep the higher click rate</t>
  </si>
  <si>
    <t>UTM Convention &amp; Link Builder</t>
  </si>
  <si>
    <t>1. Naming dictionary</t>
  </si>
  <si>
    <t>Parameter</t>
  </si>
  <si>
    <t>Question it answers</t>
  </si>
  <si>
    <t>Allowed values / example</t>
  </si>
  <si>
    <t>Why</t>
  </si>
  <si>
    <t>utm_source</t>
  </si>
  <si>
    <t>Where from?</t>
  </si>
  <si>
    <t>meta · tiktok · google · youtube · snapchat · email · whatsapp</t>
  </si>
  <si>
    <t>One value per platform. 'Meta' and 'meta' would split into two sources in GA4.</t>
  </si>
  <si>
    <t>utm_medium</t>
  </si>
  <si>
    <t>How?</t>
  </si>
  <si>
    <t>cpc (all paid ads) · email · whatsapp · social (organic only)</t>
  </si>
  <si>
    <t>cpc + a social source lands in GA4 'Paid Social'; cpc + google lands in 'Paid Search'. whatsapp needs a custom channel group.</t>
  </si>
  <si>
    <t>utm_campaign</t>
  </si>
  <si>
    <t>Which initiative?</t>
  </si>
  <si>
    <t>goal_audience_offer_yyyymm, e.g. awareness_firsthome_nhsb_202611</t>
  </si>
  <si>
    <t>utm_content</t>
  </si>
  <si>
    <t>Which creative?</t>
  </si>
  <si>
    <t>format_angle_version, e.g. spark_first_apartment_v1</t>
  </si>
  <si>
    <t>Shows which angle wins inside the same campaign.</t>
  </si>
  <si>
    <t>utm_term</t>
  </si>
  <si>
    <t>Which keyword?</t>
  </si>
  <si>
    <t>Search only: furniture_new_cairo</t>
  </si>
  <si>
    <t>Niche. Left empty for social, CRM and feed campaigns.</t>
  </si>
  <si>
    <t>2. Link builder</t>
  </si>
  <si>
    <t>Audience code</t>
  </si>
  <si>
    <t>utm_campaign (auto)</t>
  </si>
  <si>
    <t>Final URL (auto)</t>
  </si>
  <si>
    <t>Check</t>
  </si>
  <si>
    <t>tiktok</t>
  </si>
  <si>
    <t>cpc</t>
  </si>
  <si>
    <t>awareness</t>
  </si>
  <si>
    <t>firsthome</t>
  </si>
  <si>
    <t>spark_first_apartment_v1</t>
  </si>
  <si>
    <t>youtube</t>
  </si>
  <si>
    <t>inmarkethome</t>
  </si>
  <si>
    <t>bumper_one_afternoon_v1</t>
  </si>
  <si>
    <t>snapchat</t>
  </si>
  <si>
    <t>consideration</t>
  </si>
  <si>
    <t>young20to30</t>
  </si>
  <si>
    <t>collection_bundle_v1</t>
  </si>
  <si>
    <t>meta</t>
  </si>
  <si>
    <t>warmpool</t>
  </si>
  <si>
    <t>reel_delivery_promise_v1</t>
  </si>
  <si>
    <t>google</t>
  </si>
  <si>
    <t>purchase</t>
  </si>
  <si>
    <t>intent</t>
  </si>
  <si>
    <t>rsa_bundle_price_v1</t>
  </si>
  <si>
    <t>furniture_new_cairo</t>
  </si>
  <si>
    <t>feed</t>
  </si>
  <si>
    <t>pmax_bedroom_v1</t>
  </si>
  <si>
    <t>carts14d</t>
  </si>
  <si>
    <t>dpa_risk_free_v1</t>
  </si>
  <si>
    <t>whatsapp</t>
  </si>
  <si>
    <t>retention</t>
  </si>
  <si>
    <t>buyers</t>
  </si>
  <si>
    <t>flow_room2_v1</t>
  </si>
  <si>
    <t>email</t>
  </si>
  <si>
    <t>recovery</t>
  </si>
  <si>
    <t>cartabandon</t>
  </si>
  <si>
    <t>flow_cart_v1</t>
  </si>
  <si>
    <t>Empty rows at the bottom are ready for new creatives: fill B to G and the link builds itself. Shorten long links with Bitly or TinyURL; the UTMs survive the redirect.</t>
  </si>
  <si>
    <t>Tracking Plan · GA4 + GTM + platform pixels</t>
  </si>
  <si>
    <t>What fires where. Built in GTM once, read by every platform. Purchase is the source of truth for ROAS.</t>
  </si>
  <si>
    <t>Funnel step</t>
  </si>
  <si>
    <t>GA4 event</t>
  </si>
  <si>
    <t>Key parameters</t>
  </si>
  <si>
    <t>GTM trigger</t>
  </si>
  <si>
    <t>Meta (Pixel + CAPI)</t>
  </si>
  <si>
    <t>TikTok Pixel</t>
  </si>
  <si>
    <t>Snap Pixel</t>
  </si>
  <si>
    <t>Google Ads conversion</t>
  </si>
  <si>
    <t>Used for</t>
  </si>
  <si>
    <t>Visit</t>
  </si>
  <si>
    <t>page_view</t>
  </si>
  <si>
    <t>page_location, utm_*</t>
  </si>
  <si>
    <t>All pages</t>
  </si>
  <si>
    <t>PageView</t>
  </si>
  <si>
    <t>Pageview</t>
  </si>
  <si>
    <t>PAGE_VIEW</t>
  </si>
  <si>
    <t>-</t>
  </si>
  <si>
    <t>Traffic quality by source/medium</t>
  </si>
  <si>
    <t>Product interest</t>
  </si>
  <si>
    <t>view_item</t>
  </si>
  <si>
    <t>item_id, item_name, value</t>
  </si>
  <si>
    <t>Product / bundle page view</t>
  </si>
  <si>
    <t>ViewContent</t>
  </si>
  <si>
    <t>VIEW_CONTENT</t>
  </si>
  <si>
    <t>Retargeting pool VC 30d (C07)</t>
  </si>
  <si>
    <t>Planner intent</t>
  </si>
  <si>
    <t>generate_lead</t>
  </si>
  <si>
    <t>lead_type = planning_session</t>
  </si>
  <si>
    <t>Planning-session form submit</t>
  </si>
  <si>
    <t>Lead</t>
  </si>
  <si>
    <t>SubmitForm</t>
  </si>
  <si>
    <t>SIGN_UP</t>
  </si>
  <si>
    <t>Secondary conversion</t>
  </si>
  <si>
    <t>MOFU success metric, Entry offer</t>
  </si>
  <si>
    <t>Cart</t>
  </si>
  <si>
    <t>add_to_cart</t>
  </si>
  <si>
    <t>item_id, value, currency=EGP</t>
  </si>
  <si>
    <t>Add to cart click</t>
  </si>
  <si>
    <t>AddToCart</t>
  </si>
  <si>
    <t>ADD_CART</t>
  </si>
  <si>
    <t>Retargeting pool ATC 14d</t>
  </si>
  <si>
    <t>Checkout</t>
  </si>
  <si>
    <t>begin_checkout</t>
  </si>
  <si>
    <t>value, items</t>
  </si>
  <si>
    <t>Checkout page view</t>
  </si>
  <si>
    <t>InitiateCheckout</t>
  </si>
  <si>
    <t>START_CHECKOUT</t>
  </si>
  <si>
    <t>Abandoned-checkout WhatsApp flow</t>
  </si>
  <si>
    <t>transaction_id, value, currency=EGP, items, coupon</t>
  </si>
  <si>
    <t>Thank-you page / dataLayer purchase</t>
  </si>
  <si>
    <t>Purchase (dedup by event_id)</t>
  </si>
  <si>
    <t>CompletePayment</t>
  </si>
  <si>
    <t>PURCHASE</t>
  </si>
  <si>
    <t>Primary conversion (value)</t>
  </si>
  <si>
    <t>ROAS, CPA, attribution</t>
  </si>
  <si>
    <t>QA checklist before launch</t>
  </si>
  <si>
    <t>☐</t>
  </si>
  <si>
    <t>Every ad's destination URL comes from the UTM Builder sheet (no hand-typed UTMs).</t>
  </si>
  <si>
    <t>GA4 DebugView shows purchase with transaction_id and value in EGP on a test order.</t>
  </si>
  <si>
    <t>Meta Pixel and Conversions API send the same event_id so purchases are not double-counted.</t>
  </si>
  <si>
    <t>Google Ads auto-tagging is ON and the GA4 link is active; UTMs go in the Final URL suffix.</t>
  </si>
  <si>
    <t>GA4 custom channel group adds 'WhatsApp' (medium = whatsapp) so it does not land in Unassigned.</t>
  </si>
  <si>
    <t>Cross-domain / payment-gateway domains are added to the GA4 referral exclusion list.</t>
  </si>
  <si>
    <t>Looker Studio report reads GA4 session campaign + platform cost exports, joined on utm_campaign.</t>
  </si>
  <si>
    <t>Attribution · same conversions, four models</t>
  </si>
  <si>
    <t>12 sample conversion paths (illustrative, in the shape of a GA4 Path Exploration export). Weights are formulas, so you can edit any path.</t>
  </si>
  <si>
    <t>Helper: weight of each touch under each model (do not edit). Time decay doubles the weight at each step closer to purchase (about 7/13/27/53 for 4 touches, close to Session 16's 5/15/30/50).</t>
  </si>
  <si>
    <t>Last click · T1</t>
  </si>
  <si>
    <t>Last click · T2</t>
  </si>
  <si>
    <t>Last click · T3</t>
  </si>
  <si>
    <t>Last click · T4</t>
  </si>
  <si>
    <t>First click · T1</t>
  </si>
  <si>
    <t>First click · T2</t>
  </si>
  <si>
    <t>First click · T3</t>
  </si>
  <si>
    <t>First click · T4</t>
  </si>
  <si>
    <t>Linear · T1</t>
  </si>
  <si>
    <t>Linear · T2</t>
  </si>
  <si>
    <t>Linear · T3</t>
  </si>
  <si>
    <t>Linear · T4</t>
  </si>
  <si>
    <t>Time decay · T1</t>
  </si>
  <si>
    <t>Time decay · T2</t>
  </si>
  <si>
    <t>Time decay · T3</t>
  </si>
  <si>
    <t>Time decay · T4</t>
  </si>
  <si>
    <t>Position-based (40/20/40) · T1</t>
  </si>
  <si>
    <t>Position-based (40/20/40) · T2</t>
  </si>
  <si>
    <t>Position-based (40/20/40) · T3</t>
  </si>
  <si>
    <t>Position-based (40/20/40) · T4</t>
  </si>
  <si>
    <t>Path #</t>
  </si>
  <si>
    <t>Touch 1</t>
  </si>
  <si>
    <t>Touch 2</t>
  </si>
  <si>
    <t>Touch 3</t>
  </si>
  <si>
    <t>Touch 4</t>
  </si>
  <si>
    <t>Revenue (EGP)</t>
  </si>
  <si>
    <t># touches</t>
  </si>
  <si>
    <t>Revenue credit by channel (EGP)</t>
  </si>
  <si>
    <t>Last click</t>
  </si>
  <si>
    <t>First click</t>
  </si>
  <si>
    <t>Linear</t>
  </si>
  <si>
    <t>Time decay</t>
  </si>
  <si>
    <t>Position-based (40/20/40)</t>
  </si>
  <si>
    <t>Shift: last click to position-based</t>
  </si>
  <si>
    <t>Position-based share</t>
  </si>
  <si>
    <t>Total (must equal path revenue)</t>
  </si>
  <si>
    <t>What this tells us</t>
  </si>
  <si>
    <t>Simulated Test Month · daily platform export (Nov 2026)</t>
  </si>
  <si>
    <t>SIMULATED DATA for the case study, generated from the Media Plan benchmarks with realistic noise and built-in patterns. Not IKEA Egypt actuals.</t>
  </si>
  <si>
    <t>Date</t>
  </si>
  <si>
    <t>Day</t>
  </si>
  <si>
    <t>Spend (EGP)</t>
  </si>
  <si>
    <t>Impressions</t>
  </si>
  <si>
    <t>Clicks</t>
  </si>
  <si>
    <t>Add to cart</t>
  </si>
  <si>
    <t>Purchases</t>
  </si>
  <si>
    <t>CPC</t>
  </si>
  <si>
    <t>CPM</t>
  </si>
  <si>
    <t>CVR</t>
  </si>
  <si>
    <t>CPA</t>
  </si>
  <si>
    <t>Performance Dashboard · simulated test month</t>
  </si>
  <si>
    <t>Every number is a SUMIFS on the Sample Data sheet. Status is decided by the rules on the Inputs sheet.</t>
  </si>
  <si>
    <t>Blended ROAS</t>
  </si>
  <si>
    <t>Blended CPA (EGP)</t>
  </si>
  <si>
    <t>Contribution after ads (EGP)</t>
  </si>
  <si>
    <t>Target ROAS</t>
  </si>
  <si>
    <t>Campaign scorecard</t>
  </si>
  <si>
    <t>Planned (EGP)</t>
  </si>
  <si>
    <t>Pacing</t>
  </si>
  <si>
    <t>vs target</t>
  </si>
  <si>
    <t>Assist share (pos.-based)</t>
  </si>
  <si>
    <t>CTR W1</t>
  </si>
  <si>
    <t>CTR W4</t>
  </si>
  <si>
    <t>CTR change</t>
  </si>
  <si>
    <t>Fatigue</t>
  </si>
  <si>
    <t>Status</t>
  </si>
  <si>
    <t>TOTAL</t>
  </si>
  <si>
    <t>Weekly trend</t>
  </si>
  <si>
    <t>CTR W2</t>
  </si>
  <si>
    <t>CTR W3</t>
  </si>
  <si>
    <t>CPM W1</t>
  </si>
  <si>
    <t>CPM W4</t>
  </si>
  <si>
    <t>ROAS W1</t>
  </si>
  <si>
    <t>ROAS W2</t>
  </si>
  <si>
    <t>ROAS W3</t>
  </si>
  <si>
    <t>ROAS W4</t>
  </si>
  <si>
    <t>Optimization Decisions &amp; Budget Reallocation</t>
  </si>
  <si>
    <t>From the Dashboard signals to next month's plan. Recommended shares (blue) are editable; projections update.</t>
  </si>
  <si>
    <t>1. Findings</t>
  </si>
  <si>
    <t>Signal (live from Dashboard)</t>
  </si>
  <si>
    <t>Diagnosis</t>
  </si>
  <si>
    <t>Action next month</t>
  </si>
  <si>
    <t>C05 Google Search</t>
  </si>
  <si>
    <t>Strongest closer, capped by budget (daily budget hit every day).</t>
  </si>
  <si>
    <t>Raise share 22% to 28%. Move to tROAS bidding once 30+ conversions/month.</t>
  </si>
  <si>
    <t>C04 Meta prospecting</t>
  </si>
  <si>
    <t>Creative fatigue: same 3 Reels shown to a saturated warm pool, CPM rising.</t>
  </si>
  <si>
    <t>Rotate in new existing catalog cuts and UGC reposts every 10 days; trim share 20% to 17% until CTR recovers.</t>
  </si>
  <si>
    <t>C02 YouTube</t>
  </si>
  <si>
    <t>Below break-even and weak as an opener: does not earn its place.</t>
  </si>
  <si>
    <t>Pause. Move its 5% to Google Search.</t>
  </si>
  <si>
    <t>C03 Snapchat</t>
  </si>
  <si>
    <t>Clicks are cheap but do not convert: audience skews younger than Mariam.</t>
  </si>
  <si>
    <t>Pause in Egypt. Re-test only with a 6th of October compound geo-fence.</t>
  </si>
  <si>
    <t>Opens the most journeys that later close on Search and Retargeting.</t>
  </si>
  <si>
    <t>Keep at 15%. Judge on CPM, view rate and assisted conversions, not last-click ROAS.</t>
  </si>
  <si>
    <t>C08 Email + WhatsApp</t>
  </si>
  <si>
    <t>Double share 5% to 10%: add browse-abandon and room #2 flows.</t>
  </si>
  <si>
    <t>C07 Meta retargeting</t>
  </si>
  <si>
    <t>SCALE signal, but the pool is capped by how many people TOFU/MOFU warm up. More budget here only raises frequency.</t>
  </si>
  <si>
    <t>Hold at 15%. Cap frequency at 3/week; it grows as TikTok and Meta prospecting feed the pool.</t>
  </si>
  <si>
    <t>C06 Google PMax</t>
  </si>
  <si>
    <t>Profitable feed-only campaign with headroom.</t>
  </si>
  <si>
    <t>Raise share 13% to 15% with part of the freed YouTube/Snapchat budget.</t>
  </si>
  <si>
    <t>2. Budget reallocation for next month</t>
  </si>
  <si>
    <t>Current share</t>
  </si>
  <si>
    <t>Recommended share</t>
  </si>
  <si>
    <t>Current budget</t>
  </si>
  <si>
    <t>New budget</t>
  </si>
  <si>
    <t>Change (EGP)</t>
  </si>
  <si>
    <t>Actual ROAS (test month)</t>
  </si>
  <si>
    <t>Revenue at current split</t>
  </si>
  <si>
    <t>Projected revenue at new split</t>
  </si>
  <si>
    <t>Blended ROAS at current split</t>
  </si>
  <si>
    <t>Projected blended ROAS at new split</t>
  </si>
  <si>
    <t>Projected extra revenue (EGP)</t>
  </si>
  <si>
    <t>Share check</t>
  </si>
  <si>
    <t>Caveat: the projection uses last-click ROAS, so it ignores the assist value lost from paused upper-funnel lines and applies the scaling-efficiency haircut to added budget. Treat it as directional and confirm with a 2-week holdout.</t>
  </si>
  <si>
    <t>3. Test backlog (next 30 days)</t>
  </si>
  <si>
    <t>Hypothesis</t>
  </si>
  <si>
    <t>Test design</t>
  </si>
  <si>
    <t>Min. duration</t>
  </si>
  <si>
    <t>If Meta prospecting rotates a fresh asset every 10 days, CTR returns to W1 level and CPM falls.</t>
  </si>
  <si>
    <t>Ad-set A: current 3 Reels; B: 6 assets rotated every 10 days. 50/50 budget.</t>
  </si>
  <si>
    <t>CTR, CPM, cost per LPV</t>
  </si>
  <si>
    <t>14 days</t>
  </si>
  <si>
    <t>tROAS bidding on Google Search lifts ROAS without losing more than 10% of conversions.</t>
  </si>
  <si>
    <t>Campaign experiment: Max conv. value vs tROAS 450%. 50/50 traffic split.</t>
  </si>
  <si>
    <t>ROAS, conversions</t>
  </si>
  <si>
    <t>21 days</t>
  </si>
  <si>
    <t>A delivery-guarantee headline beats a price headline on the bundle landing page.</t>
  </si>
  <si>
    <t>LP split: 'Delivered on the day we promise' vs 'Full bundle from 4,500 EGP'.</t>
  </si>
  <si>
    <t>CVR (landing to purchase)</t>
  </si>
  <si>
    <t>Until 100 conversions per arm</t>
  </si>
  <si>
    <t>TikTok drives incremental Search demand.</t>
  </si>
  <si>
    <t>Geo holdout: pause TikTok in 6th of October for 2 weeks, keep New Cairo live.</t>
  </si>
  <si>
    <t>Brand search volume, Search conversions by geo</t>
  </si>
  <si>
    <t>DEPI 2026 Graduation Project #5 · TEAM 1 · Offer: New Home Starter Bundle</t>
  </si>
  <si>
    <t>This plan expands to 7 sources + CRM.</t>
  </si>
  <si>
    <t>Illustrative price point for the New Home Starter Bundle.</t>
  </si>
  <si>
    <t>Live concept landing page built on Lovable for this project (7-section skeleton). It reads the UTMs and shows them in a tracking debug card.</t>
  </si>
  <si>
    <t>North star + 4</t>
  </si>
  <si>
    <t>Persona: Mariam Adel, first-time furnisher in New Cairo. Excluded segment: gehaz families (carpenter-installment dynamic).</t>
  </si>
  <si>
    <t>Full Apartment Plan: next room, same easy delivery</t>
  </si>
  <si>
    <t>Fix the Activation-to-Retention leak</t>
  </si>
  <si>
    <t>logic: each temperature gets its own audience, window, exclusions, frequency and message. Pools feed each other from top to bottom.</t>
  </si>
  <si>
    <t>2. By test tier (70/20/10 rule )</t>
  </si>
  <si>
    <t>Rule: test one variable at a time, keep the audience and budget fixed, and decide only after the minimum sample is reached. No mid-test edits.</t>
  </si>
  <si>
    <t>1. Offer ladder</t>
  </si>
  <si>
    <t>rules: lowercase only, underscores not spaces, values picked from a fixed list. Campaign = goal_audience_offer_yyyymm. The full URL builds itself.</t>
  </si>
  <si>
    <t>Goal first, audience second, date last, plus the offer code.</t>
  </si>
  <si>
    <t>Cheapest revenue in the plan: it fixes the Activation-to-Retention leak.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</si>
</sst>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\x"/>
    <numFmt numFmtId="165" formatCode="\+#,##0;\-#,##0"/>
    <numFmt numFmtId="166" formatCode="0.0\x"/>
    <numFmt numFmtId="167" formatCode="0.0%"/>
    <numFmt numFmtId="168" formatCode="#,##0.0"/>
    <numFmt numFmtId="169" formatCode="\+#,##0;\-#,##0;0"/>
    <numFmt numFmtId="170" formatCode="dd\-mmm"/>
    <numFmt numFmtId="171" formatCode="\+0%;\-0%;0%"/>
  </numFmts>
  <fonts count="19" x14ac:knownFonts="1">
    <font>
      <sz val="11"/>
      <color theme="1"/>
      <name val="Calibri"/>
      <family val="2"/>
      <charset val="1"/>
    </font>
    <font>
      <b/>
      <sz val="18"/>
      <color rgb="FF0058A3"/>
      <name val="Arial"/>
      <charset val="1"/>
    </font>
    <font>
      <sz val="11"/>
      <color rgb="FF595959"/>
      <name val="Arial"/>
      <charset val="1"/>
    </font>
    <font>
      <b/>
      <sz val="12"/>
      <color rgb="FF0058A3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0058A3"/>
      <name val="Arial"/>
      <charset val="1"/>
    </font>
    <font>
      <b/>
      <sz val="10"/>
      <color rgb="FF0058A3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6"/>
      <color rgb="FF0058A3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i/>
      <sz val="10"/>
      <color rgb="FFC00000"/>
      <name val="Arial"/>
      <charset val="1"/>
    </font>
    <font>
      <sz val="10"/>
      <color theme="1"/>
      <name val="Arial"/>
      <charset val="1"/>
    </font>
    <font>
      <b/>
      <sz val="8"/>
      <color rgb="FFFFFFFF"/>
      <name val="Arial"/>
      <charset val="1"/>
    </font>
    <font>
      <sz val="8"/>
      <color rgb="FF7F7F7F"/>
      <name val="Arial"/>
      <charset val="1"/>
    </font>
    <font>
      <sz val="9"/>
      <name val="Arial"/>
      <charset val="1"/>
    </font>
    <font>
      <b/>
      <sz val="14"/>
      <color rgb="FF0058A3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DB00"/>
        <bgColor rgb="FFFFFF00"/>
      </patternFill>
    </fill>
    <fill>
      <patternFill patternType="solid">
        <fgColor rgb="FFFFF5B3"/>
        <bgColor rgb="FFFFF2CC"/>
      </patternFill>
    </fill>
    <fill>
      <patternFill patternType="solid">
        <fgColor rgb="FF0058A3"/>
        <bgColor rgb="FF1F4E78"/>
      </patternFill>
    </fill>
    <fill>
      <patternFill patternType="solid">
        <fgColor rgb="FFEAF2FA"/>
        <bgColor rgb="FFDDEBF7"/>
      </patternFill>
    </fill>
    <fill>
      <patternFill patternType="solid">
        <fgColor rgb="FF7F7F7F"/>
        <bgColor rgb="FF87878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3" fontId="6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11" fillId="0" borderId="0" xfId="0" applyFont="1"/>
    <xf numFmtId="0" fontId="12" fillId="4" borderId="1" xfId="0" applyFont="1" applyFill="1" applyBorder="1" applyAlignment="1">
      <alignment horizontal="center" vertical="center" wrapText="1"/>
    </xf>
    <xf numFmtId="3" fontId="8" fillId="3" borderId="1" xfId="0" applyNumberFormat="1" applyFont="1" applyFill="1" applyBorder="1" applyAlignment="1">
      <alignment vertical="top" wrapText="1"/>
    </xf>
    <xf numFmtId="1" fontId="8" fillId="0" borderId="1" xfId="0" applyNumberFormat="1" applyFont="1" applyBorder="1" applyAlignment="1">
      <alignment vertical="top" wrapText="1"/>
    </xf>
    <xf numFmtId="9" fontId="8" fillId="3" borderId="1" xfId="0" applyNumberFormat="1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6" fontId="8" fillId="3" borderId="1" xfId="0" applyNumberFormat="1" applyFont="1" applyFill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2" fontId="8" fillId="0" borderId="1" xfId="0" applyNumberFormat="1" applyFont="1" applyBorder="1" applyAlignment="1">
      <alignment vertical="top" wrapText="1"/>
    </xf>
    <xf numFmtId="9" fontId="8" fillId="0" borderId="1" xfId="0" applyNumberFormat="1" applyFont="1" applyBorder="1" applyAlignment="1">
      <alignment vertical="top" wrapText="1"/>
    </xf>
    <xf numFmtId="49" fontId="8" fillId="3" borderId="1" xfId="0" applyNumberFormat="1" applyFont="1" applyFill="1" applyBorder="1" applyAlignment="1">
      <alignment vertical="top" wrapText="1"/>
    </xf>
    <xf numFmtId="49" fontId="8" fillId="0" borderId="1" xfId="0" applyNumberFormat="1" applyFont="1" applyBorder="1" applyAlignment="1">
      <alignment vertical="top" wrapText="1"/>
    </xf>
    <xf numFmtId="9" fontId="8" fillId="0" borderId="1" xfId="0" applyNumberFormat="1" applyFont="1" applyBorder="1" applyAlignment="1">
      <alignment horizontal="right" vertical="top"/>
    </xf>
    <xf numFmtId="3" fontId="5" fillId="0" borderId="1" xfId="0" applyNumberFormat="1" applyFont="1" applyBorder="1" applyAlignment="1">
      <alignment horizontal="right" vertical="top"/>
    </xf>
    <xf numFmtId="3" fontId="8" fillId="0" borderId="1" xfId="0" applyNumberFormat="1" applyFont="1" applyBorder="1" applyAlignment="1">
      <alignment horizontal="right" vertical="top"/>
    </xf>
    <xf numFmtId="167" fontId="8" fillId="0" borderId="1" xfId="0" applyNumberFormat="1" applyFont="1" applyBorder="1" applyAlignment="1">
      <alignment horizontal="right" vertical="top"/>
    </xf>
    <xf numFmtId="10" fontId="8" fillId="0" borderId="1" xfId="0" applyNumberFormat="1" applyFont="1" applyBorder="1" applyAlignment="1">
      <alignment horizontal="right" vertical="top"/>
    </xf>
    <xf numFmtId="4" fontId="5" fillId="0" borderId="1" xfId="0" applyNumberFormat="1" applyFont="1" applyBorder="1" applyAlignment="1">
      <alignment horizontal="right" vertical="top"/>
    </xf>
    <xf numFmtId="168" fontId="5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9" fontId="4" fillId="5" borderId="1" xfId="0" applyNumberFormat="1" applyFont="1" applyFill="1" applyBorder="1" applyAlignment="1">
      <alignment horizontal="right" vertical="top"/>
    </xf>
    <xf numFmtId="3" fontId="4" fillId="5" borderId="1" xfId="0" applyNumberFormat="1" applyFont="1" applyFill="1" applyBorder="1" applyAlignment="1">
      <alignment horizontal="right" vertical="top"/>
    </xf>
    <xf numFmtId="3" fontId="5" fillId="5" borderId="1" xfId="0" applyNumberFormat="1" applyFont="1" applyFill="1" applyBorder="1" applyAlignment="1">
      <alignment horizontal="right" vertical="top"/>
    </xf>
    <xf numFmtId="167" fontId="5" fillId="5" borderId="1" xfId="0" applyNumberFormat="1" applyFont="1" applyFill="1" applyBorder="1" applyAlignment="1">
      <alignment horizontal="right" vertical="top"/>
    </xf>
    <xf numFmtId="10" fontId="5" fillId="5" borderId="1" xfId="0" applyNumberFormat="1" applyFont="1" applyFill="1" applyBorder="1" applyAlignment="1">
      <alignment horizontal="right" vertical="top"/>
    </xf>
    <xf numFmtId="4" fontId="4" fillId="5" borderId="1" xfId="0" applyNumberFormat="1" applyFont="1" applyFill="1" applyBorder="1" applyAlignment="1">
      <alignment horizontal="right" vertical="top"/>
    </xf>
    <xf numFmtId="168" fontId="4" fillId="5" borderId="1" xfId="0" applyNumberFormat="1" applyFont="1" applyFill="1" applyBorder="1" applyAlignment="1">
      <alignment horizontal="right" vertical="top"/>
    </xf>
    <xf numFmtId="164" fontId="4" fillId="5" borderId="1" xfId="0" applyNumberFormat="1" applyFont="1" applyFill="1" applyBorder="1" applyAlignment="1">
      <alignment horizontal="right" vertical="top"/>
    </xf>
    <xf numFmtId="0" fontId="13" fillId="0" borderId="0" xfId="0" applyFont="1"/>
    <xf numFmtId="0" fontId="7" fillId="0" borderId="0" xfId="0" applyFont="1"/>
    <xf numFmtId="0" fontId="14" fillId="0" borderId="0" xfId="0" applyFont="1"/>
    <xf numFmtId="9" fontId="5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3" fontId="12" fillId="4" borderId="1" xfId="0" applyNumberFormat="1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3" fontId="8" fillId="0" borderId="1" xfId="0" applyNumberFormat="1" applyFont="1" applyBorder="1" applyAlignment="1">
      <alignment vertical="top" wrapText="1"/>
    </xf>
    <xf numFmtId="2" fontId="16" fillId="0" borderId="0" xfId="0" applyNumberFormat="1" applyFont="1"/>
    <xf numFmtId="0" fontId="4" fillId="0" borderId="0" xfId="0" applyFont="1"/>
    <xf numFmtId="3" fontId="4" fillId="0" borderId="0" xfId="0" applyNumberFormat="1" applyFont="1"/>
    <xf numFmtId="169" fontId="5" fillId="0" borderId="1" xfId="0" applyNumberFormat="1" applyFont="1" applyBorder="1" applyAlignment="1">
      <alignment vertical="top" wrapText="1"/>
    </xf>
    <xf numFmtId="167" fontId="5" fillId="0" borderId="1" xfId="0" applyNumberFormat="1" applyFont="1" applyBorder="1" applyAlignment="1">
      <alignment vertical="top" wrapText="1"/>
    </xf>
    <xf numFmtId="170" fontId="17" fillId="0" borderId="0" xfId="0" applyNumberFormat="1" applyFont="1"/>
    <xf numFmtId="0" fontId="17" fillId="0" borderId="0" xfId="0" applyFont="1"/>
    <xf numFmtId="3" fontId="17" fillId="0" borderId="0" xfId="0" applyNumberFormat="1" applyFont="1"/>
    <xf numFmtId="10" fontId="17" fillId="0" borderId="0" xfId="0" applyNumberFormat="1" applyFont="1"/>
    <xf numFmtId="4" fontId="17" fillId="0" borderId="0" xfId="0" applyNumberFormat="1" applyFont="1"/>
    <xf numFmtId="168" fontId="17" fillId="0" borderId="0" xfId="0" applyNumberFormat="1" applyFont="1"/>
    <xf numFmtId="164" fontId="17" fillId="0" borderId="0" xfId="0" applyNumberFormat="1" applyFont="1"/>
    <xf numFmtId="3" fontId="18" fillId="5" borderId="1" xfId="0" applyNumberFormat="1" applyFont="1" applyFill="1" applyBorder="1" applyAlignment="1">
      <alignment horizontal="center" vertical="center" wrapText="1"/>
    </xf>
    <xf numFmtId="164" fontId="18" fillId="5" borderId="1" xfId="0" applyNumberFormat="1" applyFont="1" applyFill="1" applyBorder="1" applyAlignment="1">
      <alignment horizontal="center" vertical="center" wrapText="1"/>
    </xf>
    <xf numFmtId="166" fontId="18" fillId="5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3" fontId="5" fillId="0" borderId="1" xfId="0" applyNumberFormat="1" applyFont="1" applyBorder="1"/>
    <xf numFmtId="9" fontId="5" fillId="0" borderId="1" xfId="0" applyNumberFormat="1" applyFont="1" applyBorder="1"/>
    <xf numFmtId="10" fontId="5" fillId="0" borderId="1" xfId="0" applyNumberFormat="1" applyFont="1" applyBorder="1"/>
    <xf numFmtId="4" fontId="5" fillId="0" borderId="1" xfId="0" applyNumberFormat="1" applyFont="1" applyBorder="1"/>
    <xf numFmtId="164" fontId="5" fillId="0" borderId="1" xfId="0" applyNumberFormat="1" applyFont="1" applyBorder="1"/>
    <xf numFmtId="171" fontId="5" fillId="0" borderId="1" xfId="0" applyNumberFormat="1" applyFont="1" applyBorder="1"/>
    <xf numFmtId="167" fontId="5" fillId="0" borderId="1" xfId="0" applyNumberFormat="1" applyFont="1" applyBorder="1"/>
    <xf numFmtId="0" fontId="4" fillId="5" borderId="1" xfId="0" applyFont="1" applyFill="1" applyBorder="1"/>
    <xf numFmtId="0" fontId="5" fillId="5" borderId="1" xfId="0" applyFont="1" applyFill="1" applyBorder="1"/>
    <xf numFmtId="3" fontId="4" fillId="5" borderId="1" xfId="0" applyNumberFormat="1" applyFont="1" applyFill="1" applyBorder="1"/>
    <xf numFmtId="9" fontId="4" fillId="5" borderId="1" xfId="0" applyNumberFormat="1" applyFont="1" applyFill="1" applyBorder="1"/>
    <xf numFmtId="10" fontId="4" fillId="5" borderId="1" xfId="0" applyNumberFormat="1" applyFont="1" applyFill="1" applyBorder="1"/>
    <xf numFmtId="4" fontId="4" fillId="5" borderId="1" xfId="0" applyNumberFormat="1" applyFont="1" applyFill="1" applyBorder="1"/>
    <xf numFmtId="164" fontId="4" fillId="5" borderId="1" xfId="0" applyNumberFormat="1" applyFont="1" applyFill="1" applyBorder="1"/>
    <xf numFmtId="171" fontId="4" fillId="5" borderId="1" xfId="0" applyNumberFormat="1" applyFont="1" applyFill="1" applyBorder="1"/>
    <xf numFmtId="167" fontId="5" fillId="5" borderId="1" xfId="0" applyNumberFormat="1" applyFont="1" applyFill="1" applyBorder="1"/>
    <xf numFmtId="10" fontId="5" fillId="5" borderId="1" xfId="0" applyNumberFormat="1" applyFont="1" applyFill="1" applyBorder="1"/>
    <xf numFmtId="171" fontId="5" fillId="5" borderId="1" xfId="0" applyNumberFormat="1" applyFont="1" applyFill="1" applyBorder="1"/>
    <xf numFmtId="168" fontId="5" fillId="0" borderId="1" xfId="0" applyNumberFormat="1" applyFont="1" applyBorder="1"/>
    <xf numFmtId="9" fontId="9" fillId="0" borderId="1" xfId="0" applyNumberFormat="1" applyFont="1" applyBorder="1"/>
    <xf numFmtId="9" fontId="8" fillId="3" borderId="1" xfId="0" applyNumberFormat="1" applyFont="1" applyFill="1" applyBorder="1"/>
    <xf numFmtId="169" fontId="5" fillId="0" borderId="1" xfId="0" applyNumberFormat="1" applyFont="1" applyBorder="1"/>
    <xf numFmtId="164" fontId="9" fillId="0" borderId="1" xfId="0" applyNumberFormat="1" applyFont="1" applyBorder="1"/>
    <xf numFmtId="169" fontId="4" fillId="5" borderId="1" xfId="0" applyNumberFormat="1" applyFont="1" applyFill="1" applyBorder="1"/>
    <xf numFmtId="164" fontId="7" fillId="0" borderId="0" xfId="0" applyNumberFormat="1" applyFont="1"/>
    <xf numFmtId="165" fontId="7" fillId="0" borderId="0" xfId="0" applyNumberFormat="1" applyFont="1"/>
    <xf numFmtId="49" fontId="7" fillId="0" borderId="0" xfId="0" applyNumberFormat="1" applyFont="1"/>
  </cellXfs>
  <cellStyles count="1">
    <cellStyle name="Normal" xfId="0" builtinId="0"/>
  </cellStyles>
  <dxfs count="9">
    <dxf>
      <font>
        <b/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C00000"/>
      </font>
    </dxf>
    <dxf>
      <font>
        <b/>
        <color rgb="FFC00000"/>
      </font>
    </dxf>
    <dxf>
      <font>
        <b/>
        <color rgb="FF008000"/>
      </font>
    </dxf>
    <dxf>
      <font>
        <b/>
        <color rgb="FFC00000"/>
      </font>
    </dxf>
    <dxf>
      <font>
        <b/>
        <color rgb="FF008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AA433F"/>
      <rgbColor rgb="FFFFF2CC"/>
      <rgbColor rgb="FFDDEBF7"/>
      <rgbColor rgb="FF660066"/>
      <rgbColor rgb="FFCC8F8E"/>
      <rgbColor rgb="FF0058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A"/>
      <rgbColor rgb="FFC6EFCE"/>
      <rgbColor rgb="FFFFF5B3"/>
      <rgbColor rgb="FFF9F9F9"/>
      <rgbColor rgb="FFFF99CC"/>
      <rgbColor rgb="FFCC99FF"/>
      <rgbColor rgb="FFFFC7CE"/>
      <rgbColor rgb="FF4F81BD"/>
      <rgbColor rgb="FF33CCCC"/>
      <rgbColor rgb="FF99CC00"/>
      <rgbColor rgb="FFFFDB00"/>
      <rgbColor rgb="FFFF9900"/>
      <rgbColor rgb="FFFF6600"/>
      <rgbColor rgb="FF595959"/>
      <rgbColor rgb="FF878787"/>
      <rgbColor rgb="FF003366"/>
      <rgbColor rgb="FF339966"/>
      <rgbColor rgb="FF0061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Budget by funnel stage (EGP)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'Budget Split'!$B$5</c:f>
              <c:strCache>
                <c:ptCount val="1"/>
                <c:pt idx="0">
                  <c:v>Budget (EGP)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Split'!$A$6:$A$9</c:f>
              <c:strCache>
                <c:ptCount val="4"/>
                <c:pt idx="0">
                  <c:v>TOFU</c:v>
                </c:pt>
                <c:pt idx="1">
                  <c:v>MOFU</c:v>
                </c:pt>
                <c:pt idx="2">
                  <c:v>BOFU</c:v>
                </c:pt>
                <c:pt idx="3">
                  <c:v>CARE</c:v>
                </c:pt>
              </c:strCache>
            </c:strRef>
          </c:cat>
          <c:val>
            <c:numRef>
              <c:f>'Budget Split'!$B$6:$B$9</c:f>
              <c:numCache>
                <c:formatCode>#,##0</c:formatCode>
                <c:ptCount val="4"/>
                <c:pt idx="0">
                  <c:v>50000</c:v>
                </c:pt>
                <c:pt idx="1">
                  <c:v>62500</c:v>
                </c:pt>
                <c:pt idx="2">
                  <c:v>125000</c:v>
                </c:pt>
                <c:pt idx="3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9-46B8-9C8F-6BDEEBA64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04972"/>
        <c:axId val="98862106"/>
      </c:barChart>
      <c:catAx>
        <c:axId val="584049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862106"/>
        <c:crosses val="autoZero"/>
        <c:auto val="1"/>
        <c:lblAlgn val="ctr"/>
        <c:lblOffset val="100"/>
        <c:noMultiLvlLbl val="0"/>
      </c:catAx>
      <c:valAx>
        <c:axId val="9886210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4049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ROAS by campaign (simulated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Dashboard!$O$8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Dashboard!$B$9:$B$16</c:f>
              <c:strCache>
                <c:ptCount val="8"/>
                <c:pt idx="0">
                  <c:v>TikTok</c:v>
                </c:pt>
                <c:pt idx="1">
                  <c:v>YouTube</c:v>
                </c:pt>
                <c:pt idx="2">
                  <c:v>Snapchat</c:v>
                </c:pt>
                <c:pt idx="3">
                  <c:v>Meta</c:v>
                </c:pt>
                <c:pt idx="4">
                  <c:v>Google Search</c:v>
                </c:pt>
                <c:pt idx="5">
                  <c:v>Google PMax</c:v>
                </c:pt>
                <c:pt idx="6">
                  <c:v>Meta</c:v>
                </c:pt>
                <c:pt idx="7">
                  <c:v>Email + WhatsApp</c:v>
                </c:pt>
              </c:strCache>
            </c:strRef>
          </c:cat>
          <c:val>
            <c:numRef>
              <c:f>Dashboard!$O$9:$O$16</c:f>
              <c:numCache>
                <c:formatCode>0.00\x</c:formatCode>
                <c:ptCount val="8"/>
                <c:pt idx="0">
                  <c:v>0.36440084092501751</c:v>
                </c:pt>
                <c:pt idx="1">
                  <c:v>0.88314358001265025</c:v>
                </c:pt>
                <c:pt idx="2">
                  <c:v>0.72652335542266044</c:v>
                </c:pt>
                <c:pt idx="3">
                  <c:v>3.142460628733482</c:v>
                </c:pt>
                <c:pt idx="4">
                  <c:v>7.2637795275590555</c:v>
                </c:pt>
                <c:pt idx="5">
                  <c:v>4.0473933649289098</c:v>
                </c:pt>
                <c:pt idx="6">
                  <c:v>5.2880160067396798</c:v>
                </c:pt>
                <c:pt idx="7">
                  <c:v>9.1660103953378478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F-4AA4-9031-D6AF9C551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45220"/>
        <c:axId val="35530497"/>
      </c:barChart>
      <c:catAx>
        <c:axId val="400452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530497"/>
        <c:crosses val="autoZero"/>
        <c:auto val="1"/>
        <c:lblAlgn val="ctr"/>
        <c:lblOffset val="100"/>
        <c:noMultiLvlLbl val="0"/>
      </c:catAx>
      <c:valAx>
        <c:axId val="355304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ROAS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0452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Weekly CTR: Meta prospecting (C04) vs retargeting (C07)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Dashboard!$B$24</c:f>
              <c:strCache>
                <c:ptCount val="1"/>
                <c:pt idx="0">
                  <c:v>Meta</c:v>
                </c:pt>
              </c:strCache>
            </c:strRef>
          </c:tx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Dashboard!$C$20:$F$20</c:f>
              <c:strCache>
                <c:ptCount val="4"/>
                <c:pt idx="0">
                  <c:v>CTR W1</c:v>
                </c:pt>
                <c:pt idx="1">
                  <c:v>CTR W2</c:v>
                </c:pt>
                <c:pt idx="2">
                  <c:v>CTR W3</c:v>
                </c:pt>
                <c:pt idx="3">
                  <c:v>CTR W4</c:v>
                </c:pt>
              </c:strCache>
            </c:strRef>
          </c:cat>
          <c:val>
            <c:numRef>
              <c:f>Dashboard!$C$24:$F$24</c:f>
              <c:numCache>
                <c:formatCode>0.00%</c:formatCode>
                <c:ptCount val="4"/>
                <c:pt idx="0">
                  <c:v>1.346892234658972E-2</c:v>
                </c:pt>
                <c:pt idx="1">
                  <c:v>1.3968844823062949E-2</c:v>
                </c:pt>
                <c:pt idx="2">
                  <c:v>1.1987699752986842E-2</c:v>
                </c:pt>
                <c:pt idx="3">
                  <c:v>8.903383109538459E-3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47-41C5-BA55-4F15EE55C180}"/>
            </c:ext>
          </c:extLst>
        </c:ser>
        <c:ser>
          <c:idx val="1"/>
          <c:order val="1"/>
          <c:tx>
            <c:strRef>
              <c:f>Dashboard!$B$27</c:f>
              <c:strCache>
                <c:ptCount val="1"/>
                <c:pt idx="0">
                  <c:v>Meta</c:v>
                </c:pt>
              </c:strCache>
            </c:strRef>
          </c:tx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Dashboard!$C$20:$F$20</c:f>
              <c:strCache>
                <c:ptCount val="4"/>
                <c:pt idx="0">
                  <c:v>CTR W1</c:v>
                </c:pt>
                <c:pt idx="1">
                  <c:v>CTR W2</c:v>
                </c:pt>
                <c:pt idx="2">
                  <c:v>CTR W3</c:v>
                </c:pt>
                <c:pt idx="3">
                  <c:v>CTR W4</c:v>
                </c:pt>
              </c:strCache>
            </c:strRef>
          </c:cat>
          <c:val>
            <c:numRef>
              <c:f>Dashboard!$C$27:$F$27</c:f>
              <c:numCache>
                <c:formatCode>0.00%</c:formatCode>
                <c:ptCount val="4"/>
                <c:pt idx="0">
                  <c:v>1.7734159779614324E-2</c:v>
                </c:pt>
                <c:pt idx="1">
                  <c:v>1.7621059027607633E-2</c:v>
                </c:pt>
                <c:pt idx="2">
                  <c:v>1.7590806314435662E-2</c:v>
                </c:pt>
                <c:pt idx="3">
                  <c:v>1.5310028068384792E-2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47-41C5-BA55-4F15EE55C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034132"/>
        <c:axId val="18838606"/>
      </c:lineChart>
      <c:catAx>
        <c:axId val="130341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838606"/>
        <c:crosses val="autoZero"/>
        <c:auto val="1"/>
        <c:lblAlgn val="ctr"/>
        <c:lblOffset val="100"/>
        <c:noMultiLvlLbl val="0"/>
      </c:catAx>
      <c:valAx>
        <c:axId val="188386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0341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131040</xdr:rowOff>
    </xdr:from>
    <xdr:to>
      <xdr:col>15</xdr:col>
      <xdr:colOff>147600</xdr:colOff>
      <xdr:row>15</xdr:row>
      <xdr:rowOff>174240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144720</xdr:rowOff>
    </xdr:from>
    <xdr:to>
      <xdr:col>7</xdr:col>
      <xdr:colOff>136080</xdr:colOff>
      <xdr:row>42</xdr:row>
      <xdr:rowOff>166680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27</xdr:row>
      <xdr:rowOff>144720</xdr:rowOff>
    </xdr:from>
    <xdr:to>
      <xdr:col>17</xdr:col>
      <xdr:colOff>191160</xdr:colOff>
      <xdr:row>42</xdr:row>
      <xdr:rowOff>166680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IKEA_Egypt_Paid_Media_UTM_Plan.xlsx" TargetMode="External"/><Relationship Id="rId3" Type="http://schemas.openxmlformats.org/officeDocument/2006/relationships/hyperlink" Target="IKEA_Egypt_Paid_Media_UTM_Plan.xlsx" TargetMode="External"/><Relationship Id="rId7" Type="http://schemas.openxmlformats.org/officeDocument/2006/relationships/hyperlink" Target="IKEA_Egypt_Paid_Media_UTM_Plan.xlsx" TargetMode="External"/><Relationship Id="rId12" Type="http://schemas.openxmlformats.org/officeDocument/2006/relationships/hyperlink" Target="IKEA_Egypt_Paid_Media_UTM_Plan.xlsx" TargetMode="External"/><Relationship Id="rId2" Type="http://schemas.openxmlformats.org/officeDocument/2006/relationships/hyperlink" Target="IKEA_Egypt_Paid_Media_UTM_Plan.xlsx" TargetMode="External"/><Relationship Id="rId1" Type="http://schemas.openxmlformats.org/officeDocument/2006/relationships/hyperlink" Target="IKEA_Egypt_Paid_Media_UTM_Plan.xlsx" TargetMode="External"/><Relationship Id="rId6" Type="http://schemas.openxmlformats.org/officeDocument/2006/relationships/hyperlink" Target="IKEA_Egypt_Paid_Media_UTM_Plan.xlsx" TargetMode="External"/><Relationship Id="rId11" Type="http://schemas.openxmlformats.org/officeDocument/2006/relationships/hyperlink" Target="IKEA_Egypt_Paid_Media_UTM_Plan.xlsx" TargetMode="External"/><Relationship Id="rId5" Type="http://schemas.openxmlformats.org/officeDocument/2006/relationships/hyperlink" Target="IKEA_Egypt_Paid_Media_UTM_Plan.xlsx" TargetMode="External"/><Relationship Id="rId10" Type="http://schemas.openxmlformats.org/officeDocument/2006/relationships/hyperlink" Target="IKEA_Egypt_Paid_Media_UTM_Plan.xlsx" TargetMode="External"/><Relationship Id="rId4" Type="http://schemas.openxmlformats.org/officeDocument/2006/relationships/hyperlink" Target="IKEA_Egypt_Paid_Media_UTM_Plan.xlsx" TargetMode="External"/><Relationship Id="rId9" Type="http://schemas.openxmlformats.org/officeDocument/2006/relationships/hyperlink" Target="IKEA_Egypt_Paid_Media_UTM_Plan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8A3"/>
  </sheetPr>
  <dimension ref="A1:F37"/>
  <sheetViews>
    <sheetView showGridLines="0" zoomScaleNormal="100" workbookViewId="0">
      <selection activeCell="D14" sqref="D14"/>
    </sheetView>
  </sheetViews>
  <sheetFormatPr defaultColWidth="8.6640625" defaultRowHeight="14.4" x14ac:dyDescent="0.3"/>
  <cols>
    <col min="1" max="1" width="40" customWidth="1"/>
    <col min="2" max="2" width="110" customWidth="1"/>
  </cols>
  <sheetData>
    <row r="1" spans="1:6" ht="22.8" x14ac:dyDescent="0.4">
      <c r="A1" s="1" t="s">
        <v>0</v>
      </c>
    </row>
    <row r="2" spans="1:6" x14ac:dyDescent="0.3">
      <c r="A2" s="2" t="s">
        <v>750</v>
      </c>
    </row>
    <row r="3" spans="1:6" x14ac:dyDescent="0.3">
      <c r="A3" s="3"/>
      <c r="B3" s="3"/>
      <c r="C3" s="3"/>
      <c r="D3" s="3"/>
      <c r="E3" s="3"/>
      <c r="F3" s="3"/>
    </row>
    <row r="5" spans="1:6" ht="15.6" x14ac:dyDescent="0.3">
      <c r="A5" s="4" t="s">
        <v>1</v>
      </c>
    </row>
    <row r="6" spans="1:6" x14ac:dyDescent="0.3">
      <c r="A6" s="5" t="s">
        <v>2</v>
      </c>
      <c r="B6" s="6" t="s">
        <v>3</v>
      </c>
    </row>
    <row r="7" spans="1:6" x14ac:dyDescent="0.3">
      <c r="A7" s="5" t="s">
        <v>4</v>
      </c>
      <c r="B7" s="6" t="s">
        <v>5</v>
      </c>
    </row>
    <row r="8" spans="1:6" x14ac:dyDescent="0.3">
      <c r="A8" s="5" t="s">
        <v>6</v>
      </c>
      <c r="B8" s="6" t="s">
        <v>7</v>
      </c>
    </row>
    <row r="9" spans="1:6" ht="26.4" x14ac:dyDescent="0.3">
      <c r="A9" s="5" t="s">
        <v>8</v>
      </c>
      <c r="B9" s="6" t="s">
        <v>9</v>
      </c>
    </row>
    <row r="10" spans="1:6" x14ac:dyDescent="0.3">
      <c r="A10" s="5" t="s">
        <v>754</v>
      </c>
      <c r="B10" s="6" t="s">
        <v>10</v>
      </c>
    </row>
    <row r="11" spans="1:6" ht="15.6" x14ac:dyDescent="0.3">
      <c r="A11" s="4" t="s">
        <v>11</v>
      </c>
    </row>
    <row r="12" spans="1:6" x14ac:dyDescent="0.3">
      <c r="A12" s="5" t="s">
        <v>12</v>
      </c>
      <c r="B12" s="7">
        <f>Dashboard!A5</f>
        <v>249997</v>
      </c>
    </row>
    <row r="13" spans="1:6" x14ac:dyDescent="0.3">
      <c r="A13" s="5" t="s">
        <v>13</v>
      </c>
      <c r="B13" s="7">
        <f>Dashboard!B5</f>
        <v>1027510</v>
      </c>
    </row>
    <row r="14" spans="1:6" x14ac:dyDescent="0.3">
      <c r="A14" s="5" t="s">
        <v>14</v>
      </c>
      <c r="B14" s="8" t="str">
        <f>TEXT(Dashboard!D5,"0.00")&amp;"x vs "&amp;TEXT(Inputs!$B$10,"0.0")&amp;"x"</f>
        <v>4.11x vs 3.5x</v>
      </c>
    </row>
    <row r="15" spans="1:6" x14ac:dyDescent="0.3">
      <c r="A15" s="5" t="s">
        <v>15</v>
      </c>
      <c r="B15" s="9">
        <f>Optimization!E28</f>
        <v>4.7933878722162016</v>
      </c>
    </row>
    <row r="16" spans="1:6" x14ac:dyDescent="0.3">
      <c r="A16" s="5" t="s">
        <v>16</v>
      </c>
      <c r="B16" s="10">
        <f>Optimization!E29</f>
        <v>163514.17981934804</v>
      </c>
    </row>
    <row r="18" spans="1:2" ht="15.6" x14ac:dyDescent="0.3">
      <c r="A18" s="4" t="s">
        <v>17</v>
      </c>
    </row>
    <row r="19" spans="1:2" x14ac:dyDescent="0.3">
      <c r="A19" s="11" t="s">
        <v>18</v>
      </c>
      <c r="B19" s="6" t="s">
        <v>19</v>
      </c>
    </row>
    <row r="20" spans="1:2" x14ac:dyDescent="0.3">
      <c r="A20" s="11" t="s">
        <v>20</v>
      </c>
      <c r="B20" s="6" t="s">
        <v>21</v>
      </c>
    </row>
    <row r="21" spans="1:2" x14ac:dyDescent="0.3">
      <c r="A21" s="11" t="s">
        <v>22</v>
      </c>
      <c r="B21" s="6" t="s">
        <v>23</v>
      </c>
    </row>
    <row r="22" spans="1:2" x14ac:dyDescent="0.3">
      <c r="A22" s="11" t="s">
        <v>24</v>
      </c>
      <c r="B22" s="6" t="s">
        <v>25</v>
      </c>
    </row>
    <row r="23" spans="1:2" x14ac:dyDescent="0.3">
      <c r="A23" s="11" t="s">
        <v>26</v>
      </c>
      <c r="B23" s="6" t="s">
        <v>27</v>
      </c>
    </row>
    <row r="24" spans="1:2" x14ac:dyDescent="0.3">
      <c r="A24" s="11" t="s">
        <v>28</v>
      </c>
      <c r="B24" s="6" t="s">
        <v>29</v>
      </c>
    </row>
    <row r="25" spans="1:2" x14ac:dyDescent="0.3">
      <c r="A25" s="11" t="s">
        <v>30</v>
      </c>
      <c r="B25" s="6" t="s">
        <v>31</v>
      </c>
    </row>
    <row r="26" spans="1:2" x14ac:dyDescent="0.3">
      <c r="A26" s="11" t="s">
        <v>32</v>
      </c>
      <c r="B26" s="6" t="s">
        <v>33</v>
      </c>
    </row>
    <row r="27" spans="1:2" x14ac:dyDescent="0.3">
      <c r="A27" s="11" t="s">
        <v>34</v>
      </c>
      <c r="B27" s="6" t="s">
        <v>35</v>
      </c>
    </row>
    <row r="28" spans="1:2" x14ac:dyDescent="0.3">
      <c r="A28" s="11" t="s">
        <v>36</v>
      </c>
      <c r="B28" s="6" t="s">
        <v>37</v>
      </c>
    </row>
    <row r="29" spans="1:2" x14ac:dyDescent="0.3">
      <c r="A29" s="11" t="s">
        <v>38</v>
      </c>
      <c r="B29" s="6" t="s">
        <v>39</v>
      </c>
    </row>
    <row r="30" spans="1:2" x14ac:dyDescent="0.3">
      <c r="A30" s="11" t="s">
        <v>40</v>
      </c>
      <c r="B30" s="6" t="s">
        <v>41</v>
      </c>
    </row>
    <row r="32" spans="1:2" ht="15.6" x14ac:dyDescent="0.3">
      <c r="A32" s="4" t="s">
        <v>42</v>
      </c>
    </row>
    <row r="33" spans="1:2" x14ac:dyDescent="0.3">
      <c r="A33" s="12" t="s">
        <v>43</v>
      </c>
      <c r="B33" s="6" t="s">
        <v>44</v>
      </c>
    </row>
    <row r="34" spans="1:2" x14ac:dyDescent="0.3">
      <c r="A34" s="13" t="s">
        <v>45</v>
      </c>
      <c r="B34" s="6" t="s">
        <v>46</v>
      </c>
    </row>
    <row r="35" spans="1:2" x14ac:dyDescent="0.3">
      <c r="A35" s="14" t="s">
        <v>47</v>
      </c>
      <c r="B35" s="6" t="s">
        <v>48</v>
      </c>
    </row>
    <row r="36" spans="1:2" x14ac:dyDescent="0.3">
      <c r="A36" s="6" t="s">
        <v>49</v>
      </c>
      <c r="B36" s="6" t="s">
        <v>50</v>
      </c>
    </row>
    <row r="37" spans="1:2" x14ac:dyDescent="0.3">
      <c r="A37" s="6" t="s">
        <v>51</v>
      </c>
      <c r="B37" s="6" t="s">
        <v>52</v>
      </c>
    </row>
  </sheetData>
  <hyperlinks>
    <hyperlink ref="A19" r:id="rId1" location="'Inputs'!A1" xr:uid="{00000000-0004-0000-0000-000000000000}"/>
    <hyperlink ref="A20" r:id="rId2" location="'Funnel%20&amp;%20Audiences'!A1" xr:uid="{00000000-0004-0000-0000-000001000000}"/>
    <hyperlink ref="A21" r:id="rId3" location="'Audience%20&amp;%20Retargeting'!A1" xr:uid="{00000000-0004-0000-0000-000002000000}"/>
    <hyperlink ref="A22" r:id="rId4" location="'Media%20Plan'!A1" xr:uid="{00000000-0004-0000-0000-000003000000}"/>
    <hyperlink ref="A23" r:id="rId5" location="'Budget%20Split'!A1" xr:uid="{00000000-0004-0000-0000-000004000000}"/>
    <hyperlink ref="A24" r:id="rId6" location="'Creative%20Testing'!A1" xr:uid="{00000000-0004-0000-0000-000005000000}"/>
    <hyperlink ref="A25" r:id="rId7" location="'UTM%20Builder'!A1" xr:uid="{00000000-0004-0000-0000-000006000000}"/>
    <hyperlink ref="A26" r:id="rId8" location="'Tracking%20Plan'!A1" xr:uid="{00000000-0004-0000-0000-000007000000}"/>
    <hyperlink ref="A27" r:id="rId9" location="'Attribution'!A1" xr:uid="{00000000-0004-0000-0000-000008000000}"/>
    <hyperlink ref="A28" r:id="rId10" location="'Sample%20Data'!A1" xr:uid="{00000000-0004-0000-0000-000009000000}"/>
    <hyperlink ref="A29" r:id="rId11" location="'Dashboard'!A1" xr:uid="{00000000-0004-0000-0000-00000A000000}"/>
    <hyperlink ref="A30" r:id="rId12" location="'Optimization'!A1" xr:uid="{00000000-0004-0000-0000-00000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58A3"/>
  </sheetPr>
  <dimension ref="A1:D18"/>
  <sheetViews>
    <sheetView showGridLines="0" zoomScaleNormal="100" workbookViewId="0">
      <selection activeCell="E16" sqref="E16"/>
    </sheetView>
  </sheetViews>
  <sheetFormatPr defaultColWidth="8.6640625" defaultRowHeight="14.4" x14ac:dyDescent="0.3"/>
  <cols>
    <col min="1" max="1" width="38" customWidth="1"/>
    <col min="2" max="2" width="30" customWidth="1"/>
    <col min="3" max="3" width="10" customWidth="1"/>
    <col min="4" max="4" width="90" customWidth="1"/>
  </cols>
  <sheetData>
    <row r="1" spans="1:4" ht="21" x14ac:dyDescent="0.4">
      <c r="A1" s="15" t="s">
        <v>53</v>
      </c>
    </row>
    <row r="2" spans="1:4" x14ac:dyDescent="0.3">
      <c r="A2" s="16" t="s">
        <v>54</v>
      </c>
    </row>
    <row r="4" spans="1:4" x14ac:dyDescent="0.3">
      <c r="A4" s="17" t="s">
        <v>55</v>
      </c>
      <c r="B4" s="17" t="s">
        <v>56</v>
      </c>
      <c r="C4" s="17" t="s">
        <v>57</v>
      </c>
      <c r="D4" s="17" t="s">
        <v>58</v>
      </c>
    </row>
    <row r="5" spans="1:4" x14ac:dyDescent="0.3">
      <c r="A5" s="6" t="s">
        <v>59</v>
      </c>
      <c r="B5" s="18">
        <v>250000</v>
      </c>
      <c r="C5" s="6" t="s">
        <v>60</v>
      </c>
      <c r="D5" s="6" t="s">
        <v>751</v>
      </c>
    </row>
    <row r="6" spans="1:4" x14ac:dyDescent="0.3">
      <c r="A6" s="6" t="s">
        <v>61</v>
      </c>
      <c r="B6" s="19">
        <v>30</v>
      </c>
      <c r="C6" s="6" t="s">
        <v>62</v>
      </c>
      <c r="D6" s="6" t="s">
        <v>63</v>
      </c>
    </row>
    <row r="7" spans="1:4" x14ac:dyDescent="0.3">
      <c r="A7" s="6" t="s">
        <v>64</v>
      </c>
      <c r="B7" s="18">
        <v>4500</v>
      </c>
      <c r="C7" s="6" t="s">
        <v>60</v>
      </c>
      <c r="D7" s="6" t="s">
        <v>752</v>
      </c>
    </row>
    <row r="8" spans="1:4" x14ac:dyDescent="0.3">
      <c r="A8" s="6" t="s">
        <v>65</v>
      </c>
      <c r="B8" s="20">
        <v>0.35</v>
      </c>
      <c r="C8" s="6" t="s">
        <v>66</v>
      </c>
      <c r="D8" s="6" t="s">
        <v>67</v>
      </c>
    </row>
    <row r="9" spans="1:4" x14ac:dyDescent="0.3">
      <c r="A9" s="6" t="s">
        <v>68</v>
      </c>
      <c r="B9" s="21">
        <f>1/B8</f>
        <v>2.8571428571428572</v>
      </c>
      <c r="C9" s="6" t="s">
        <v>69</v>
      </c>
      <c r="D9" s="6" t="s">
        <v>70</v>
      </c>
    </row>
    <row r="10" spans="1:4" x14ac:dyDescent="0.3">
      <c r="A10" s="6" t="s">
        <v>71</v>
      </c>
      <c r="B10" s="22">
        <v>3.5</v>
      </c>
      <c r="C10" s="6" t="s">
        <v>69</v>
      </c>
      <c r="D10" s="6" t="s">
        <v>72</v>
      </c>
    </row>
    <row r="11" spans="1:4" x14ac:dyDescent="0.3">
      <c r="A11" s="6" t="s">
        <v>73</v>
      </c>
      <c r="B11" s="23">
        <f>B7/B10</f>
        <v>1285.7142857142858</v>
      </c>
      <c r="C11" s="6" t="s">
        <v>60</v>
      </c>
      <c r="D11" s="6" t="s">
        <v>74</v>
      </c>
    </row>
    <row r="12" spans="1:4" x14ac:dyDescent="0.3">
      <c r="A12" s="6" t="s">
        <v>75</v>
      </c>
      <c r="B12" s="24">
        <v>1.2</v>
      </c>
      <c r="C12" s="6" t="s">
        <v>76</v>
      </c>
      <c r="D12" s="6" t="s">
        <v>77</v>
      </c>
    </row>
    <row r="13" spans="1:4" x14ac:dyDescent="0.3">
      <c r="A13" s="6" t="s">
        <v>78</v>
      </c>
      <c r="B13" s="25">
        <v>0.08</v>
      </c>
      <c r="C13" s="6" t="s">
        <v>66</v>
      </c>
      <c r="D13" s="6" t="s">
        <v>79</v>
      </c>
    </row>
    <row r="14" spans="1:4" x14ac:dyDescent="0.3">
      <c r="A14" s="6" t="s">
        <v>80</v>
      </c>
      <c r="B14" s="25">
        <v>0.25</v>
      </c>
      <c r="C14" s="6" t="s">
        <v>66</v>
      </c>
      <c r="D14" s="6" t="s">
        <v>81</v>
      </c>
    </row>
    <row r="15" spans="1:4" x14ac:dyDescent="0.3">
      <c r="A15" s="6" t="s">
        <v>82</v>
      </c>
      <c r="B15" s="25">
        <v>0.85</v>
      </c>
      <c r="C15" s="6" t="s">
        <v>66</v>
      </c>
      <c r="D15" s="6" t="s">
        <v>83</v>
      </c>
    </row>
    <row r="16" spans="1:4" ht="26.4" x14ac:dyDescent="0.3">
      <c r="A16" s="6" t="s">
        <v>84</v>
      </c>
      <c r="B16" s="26" t="s">
        <v>85</v>
      </c>
      <c r="C16" s="6" t="s">
        <v>86</v>
      </c>
      <c r="D16" s="6" t="s">
        <v>753</v>
      </c>
    </row>
    <row r="17" spans="1:4" x14ac:dyDescent="0.3">
      <c r="A17" s="6" t="s">
        <v>87</v>
      </c>
      <c r="B17" s="27" t="s">
        <v>88</v>
      </c>
      <c r="C17" s="6" t="s">
        <v>89</v>
      </c>
      <c r="D17" s="6" t="s">
        <v>90</v>
      </c>
    </row>
    <row r="18" spans="1:4" x14ac:dyDescent="0.3">
      <c r="A18" s="6" t="s">
        <v>91</v>
      </c>
      <c r="B18" s="27" t="s">
        <v>92</v>
      </c>
      <c r="C18" s="6" t="s">
        <v>89</v>
      </c>
      <c r="D18" s="6" t="s">
        <v>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58A3"/>
  </sheetPr>
  <dimension ref="A1:J8"/>
  <sheetViews>
    <sheetView showGridLines="0" zoomScaleNormal="100" workbookViewId="0">
      <selection activeCell="H5" sqref="H5"/>
    </sheetView>
  </sheetViews>
  <sheetFormatPr defaultColWidth="8.6640625" defaultRowHeight="14.4" x14ac:dyDescent="0.3"/>
  <cols>
    <col min="1" max="1" width="18" customWidth="1"/>
    <col min="2" max="2" width="26" customWidth="1"/>
    <col min="3" max="3" width="24" customWidth="1"/>
    <col min="4" max="4" width="20" customWidth="1"/>
    <col min="5" max="5" width="42" customWidth="1"/>
    <col min="6" max="6" width="28" customWidth="1"/>
    <col min="7" max="7" width="30" customWidth="1"/>
    <col min="8" max="8" width="28" customWidth="1"/>
    <col min="9" max="9" width="22" customWidth="1"/>
    <col min="10" max="10" width="14" customWidth="1"/>
  </cols>
  <sheetData>
    <row r="1" spans="1:10" ht="21" x14ac:dyDescent="0.4">
      <c r="A1" s="15" t="s">
        <v>94</v>
      </c>
    </row>
    <row r="2" spans="1:10" x14ac:dyDescent="0.3">
      <c r="A2" s="16" t="s">
        <v>755</v>
      </c>
    </row>
    <row r="4" spans="1:10" ht="26.4" x14ac:dyDescent="0.3">
      <c r="A4" s="17" t="s">
        <v>95</v>
      </c>
      <c r="B4" s="17" t="s">
        <v>96</v>
      </c>
      <c r="C4" s="17" t="s">
        <v>97</v>
      </c>
      <c r="D4" s="17" t="s">
        <v>98</v>
      </c>
      <c r="E4" s="17" t="s">
        <v>99</v>
      </c>
      <c r="F4" s="17" t="s">
        <v>100</v>
      </c>
      <c r="G4" s="17" t="s">
        <v>101</v>
      </c>
      <c r="H4" s="17" t="s">
        <v>342</v>
      </c>
      <c r="I4" s="17" t="s">
        <v>102</v>
      </c>
      <c r="J4" s="17" t="s">
        <v>103</v>
      </c>
    </row>
    <row r="5" spans="1:10" ht="94.5" customHeight="1" x14ac:dyDescent="0.3">
      <c r="A5" s="11" t="s">
        <v>104</v>
      </c>
      <c r="B5" s="6" t="s">
        <v>105</v>
      </c>
      <c r="C5" s="6" t="s">
        <v>106</v>
      </c>
      <c r="D5" s="6" t="s">
        <v>107</v>
      </c>
      <c r="E5" s="6" t="s">
        <v>108</v>
      </c>
      <c r="F5" s="6" t="s">
        <v>109</v>
      </c>
      <c r="G5" s="6" t="s">
        <v>110</v>
      </c>
      <c r="H5" s="6" t="s">
        <v>111</v>
      </c>
      <c r="I5" s="6" t="s">
        <v>112</v>
      </c>
      <c r="J5" s="6" t="s">
        <v>113</v>
      </c>
    </row>
    <row r="6" spans="1:10" ht="94.5" customHeight="1" x14ac:dyDescent="0.3">
      <c r="A6" s="11" t="s">
        <v>114</v>
      </c>
      <c r="B6" s="6" t="s">
        <v>115</v>
      </c>
      <c r="C6" s="6" t="s">
        <v>116</v>
      </c>
      <c r="D6" s="6" t="s">
        <v>117</v>
      </c>
      <c r="E6" s="6" t="s">
        <v>118</v>
      </c>
      <c r="F6" s="6" t="s">
        <v>119</v>
      </c>
      <c r="G6" s="6" t="s">
        <v>120</v>
      </c>
      <c r="H6" s="6" t="s">
        <v>121</v>
      </c>
      <c r="I6" s="6" t="s">
        <v>122</v>
      </c>
      <c r="J6" s="6" t="s">
        <v>123</v>
      </c>
    </row>
    <row r="7" spans="1:10" ht="94.5" customHeight="1" x14ac:dyDescent="0.3">
      <c r="A7" s="11" t="s">
        <v>124</v>
      </c>
      <c r="B7" s="6" t="s">
        <v>125</v>
      </c>
      <c r="C7" s="6" t="s">
        <v>126</v>
      </c>
      <c r="D7" s="6" t="s">
        <v>127</v>
      </c>
      <c r="E7" s="6" t="s">
        <v>128</v>
      </c>
      <c r="F7" s="6" t="s">
        <v>129</v>
      </c>
      <c r="G7" s="6" t="s">
        <v>130</v>
      </c>
      <c r="H7" s="6" t="s">
        <v>131</v>
      </c>
      <c r="I7" s="6" t="s">
        <v>132</v>
      </c>
      <c r="J7" s="6" t="s">
        <v>133</v>
      </c>
    </row>
    <row r="8" spans="1:10" ht="94.5" customHeight="1" x14ac:dyDescent="0.3">
      <c r="A8" s="11" t="s">
        <v>134</v>
      </c>
      <c r="B8" s="6" t="s">
        <v>135</v>
      </c>
      <c r="C8" s="6" t="s">
        <v>136</v>
      </c>
      <c r="D8" s="6" t="s">
        <v>137</v>
      </c>
      <c r="E8" s="6" t="s">
        <v>138</v>
      </c>
      <c r="F8" s="6" t="s">
        <v>139</v>
      </c>
      <c r="G8" s="6" t="s">
        <v>756</v>
      </c>
      <c r="H8" s="6" t="s">
        <v>140</v>
      </c>
      <c r="I8" s="6" t="s">
        <v>141</v>
      </c>
      <c r="J8" s="6" t="s">
        <v>142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58A3"/>
  </sheetPr>
  <dimension ref="A1:I17"/>
  <sheetViews>
    <sheetView showGridLines="0" zoomScaleNormal="100" workbookViewId="0">
      <selection activeCell="D15" sqref="D15"/>
    </sheetView>
  </sheetViews>
  <sheetFormatPr defaultColWidth="8.6640625" defaultRowHeight="14.4" x14ac:dyDescent="0.3"/>
  <cols>
    <col min="1" max="1" width="16" customWidth="1"/>
    <col min="2" max="2" width="42" customWidth="1"/>
    <col min="3" max="3" width="12" customWidth="1"/>
    <col min="4" max="4" width="30" customWidth="1"/>
    <col min="5" max="5" width="26" customWidth="1"/>
    <col min="6" max="6" width="16" customWidth="1"/>
    <col min="7" max="7" width="36" customWidth="1"/>
    <col min="8" max="8" width="32" customWidth="1"/>
    <col min="9" max="9" width="26" customWidth="1"/>
  </cols>
  <sheetData>
    <row r="1" spans="1:9" ht="21" x14ac:dyDescent="0.4">
      <c r="A1" s="15" t="s">
        <v>143</v>
      </c>
    </row>
    <row r="2" spans="1:9" x14ac:dyDescent="0.3">
      <c r="A2" s="16" t="s">
        <v>758</v>
      </c>
    </row>
    <row r="4" spans="1:9" x14ac:dyDescent="0.3">
      <c r="A4" s="17" t="s">
        <v>144</v>
      </c>
      <c r="B4" s="17" t="s">
        <v>145</v>
      </c>
      <c r="C4" s="17" t="s">
        <v>146</v>
      </c>
      <c r="D4" s="17" t="s">
        <v>147</v>
      </c>
      <c r="E4" s="17" t="s">
        <v>100</v>
      </c>
      <c r="F4" s="17" t="s">
        <v>148</v>
      </c>
      <c r="G4" s="17" t="s">
        <v>149</v>
      </c>
      <c r="H4" s="17" t="s">
        <v>150</v>
      </c>
      <c r="I4" s="17" t="s">
        <v>151</v>
      </c>
    </row>
    <row r="5" spans="1:9" ht="75" customHeight="1" x14ac:dyDescent="0.3">
      <c r="A5" s="11" t="s">
        <v>152</v>
      </c>
      <c r="B5" s="6" t="s">
        <v>153</v>
      </c>
      <c r="C5" s="6" t="s">
        <v>154</v>
      </c>
      <c r="D5" s="6" t="s">
        <v>155</v>
      </c>
      <c r="E5" s="6" t="s">
        <v>156</v>
      </c>
      <c r="F5" s="6" t="s">
        <v>157</v>
      </c>
      <c r="G5" s="6" t="s">
        <v>158</v>
      </c>
      <c r="H5" s="6" t="s">
        <v>159</v>
      </c>
      <c r="I5" s="6" t="s">
        <v>160</v>
      </c>
    </row>
    <row r="6" spans="1:9" ht="75" customHeight="1" x14ac:dyDescent="0.3">
      <c r="A6" s="11" t="s">
        <v>161</v>
      </c>
      <c r="B6" s="6" t="s">
        <v>162</v>
      </c>
      <c r="C6" s="6" t="s">
        <v>123</v>
      </c>
      <c r="D6" s="6" t="s">
        <v>163</v>
      </c>
      <c r="E6" s="6" t="s">
        <v>164</v>
      </c>
      <c r="F6" s="6" t="s">
        <v>165</v>
      </c>
      <c r="G6" s="6" t="s">
        <v>166</v>
      </c>
      <c r="H6" s="6" t="s">
        <v>167</v>
      </c>
      <c r="I6" s="6" t="s">
        <v>168</v>
      </c>
    </row>
    <row r="7" spans="1:9" ht="75" customHeight="1" x14ac:dyDescent="0.3">
      <c r="A7" s="11" t="s">
        <v>169</v>
      </c>
      <c r="B7" s="6" t="s">
        <v>170</v>
      </c>
      <c r="C7" s="6" t="s">
        <v>133</v>
      </c>
      <c r="D7" s="6" t="s">
        <v>171</v>
      </c>
      <c r="E7" s="6" t="s">
        <v>172</v>
      </c>
      <c r="F7" s="6" t="s">
        <v>173</v>
      </c>
      <c r="G7" s="6" t="s">
        <v>174</v>
      </c>
      <c r="H7" s="6" t="s">
        <v>175</v>
      </c>
      <c r="I7" s="6" t="s">
        <v>176</v>
      </c>
    </row>
    <row r="8" spans="1:9" ht="75" customHeight="1" x14ac:dyDescent="0.3">
      <c r="A8" s="11" t="s">
        <v>177</v>
      </c>
      <c r="B8" s="6" t="s">
        <v>178</v>
      </c>
      <c r="C8" s="6" t="s">
        <v>142</v>
      </c>
      <c r="D8" s="6" t="s">
        <v>179</v>
      </c>
      <c r="E8" s="6" t="s">
        <v>180</v>
      </c>
      <c r="F8" s="6" t="s">
        <v>181</v>
      </c>
      <c r="G8" s="6" t="s">
        <v>182</v>
      </c>
      <c r="H8" s="6" t="s">
        <v>183</v>
      </c>
      <c r="I8" s="6" t="s">
        <v>184</v>
      </c>
    </row>
    <row r="10" spans="1:9" ht="15.6" x14ac:dyDescent="0.3">
      <c r="A10" s="4" t="s">
        <v>185</v>
      </c>
    </row>
    <row r="11" spans="1:9" ht="26.4" x14ac:dyDescent="0.3">
      <c r="A11" s="17" t="s">
        <v>186</v>
      </c>
      <c r="B11" s="17" t="s">
        <v>187</v>
      </c>
      <c r="C11" s="17" t="s">
        <v>188</v>
      </c>
      <c r="D11" s="17" t="s">
        <v>189</v>
      </c>
      <c r="E11" s="17" t="s">
        <v>6</v>
      </c>
    </row>
    <row r="12" spans="1:9" ht="26.4" x14ac:dyDescent="0.3">
      <c r="A12" s="6" t="s">
        <v>190</v>
      </c>
      <c r="B12" s="6" t="s">
        <v>191</v>
      </c>
      <c r="C12" s="6" t="s">
        <v>192</v>
      </c>
      <c r="D12" s="6" t="s">
        <v>193</v>
      </c>
      <c r="E12" s="6" t="s">
        <v>194</v>
      </c>
    </row>
    <row r="13" spans="1:9" ht="26.4" x14ac:dyDescent="0.3">
      <c r="A13" s="6" t="s">
        <v>195</v>
      </c>
      <c r="B13" s="6" t="s">
        <v>196</v>
      </c>
      <c r="C13" s="6" t="s">
        <v>197</v>
      </c>
      <c r="D13" s="6" t="s">
        <v>198</v>
      </c>
      <c r="E13" s="6" t="s">
        <v>199</v>
      </c>
    </row>
    <row r="14" spans="1:9" ht="52.8" x14ac:dyDescent="0.3">
      <c r="A14" s="6" t="s">
        <v>200</v>
      </c>
      <c r="B14" s="6" t="s">
        <v>201</v>
      </c>
      <c r="C14" s="6" t="s">
        <v>202</v>
      </c>
      <c r="D14" s="6" t="s">
        <v>203</v>
      </c>
      <c r="E14" s="6" t="s">
        <v>204</v>
      </c>
    </row>
    <row r="15" spans="1:9" ht="26.4" x14ac:dyDescent="0.3">
      <c r="A15" s="6" t="s">
        <v>205</v>
      </c>
      <c r="B15" s="6" t="s">
        <v>206</v>
      </c>
      <c r="C15" s="6" t="s">
        <v>207</v>
      </c>
      <c r="D15" s="6" t="s">
        <v>208</v>
      </c>
      <c r="E15" s="6" t="s">
        <v>209</v>
      </c>
    </row>
    <row r="16" spans="1:9" ht="26.4" x14ac:dyDescent="0.3">
      <c r="A16" s="6" t="s">
        <v>210</v>
      </c>
      <c r="B16" s="6" t="s">
        <v>211</v>
      </c>
      <c r="C16" s="6" t="s">
        <v>212</v>
      </c>
      <c r="D16" s="6" t="s">
        <v>213</v>
      </c>
      <c r="E16" s="6" t="s">
        <v>214</v>
      </c>
    </row>
    <row r="17" spans="1:5" ht="26.4" x14ac:dyDescent="0.3">
      <c r="A17" s="6" t="s">
        <v>215</v>
      </c>
      <c r="B17" s="6" t="s">
        <v>211</v>
      </c>
      <c r="C17" s="6" t="s">
        <v>216</v>
      </c>
      <c r="D17" s="6" t="s">
        <v>217</v>
      </c>
      <c r="E17" s="6" t="s">
        <v>757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58A3"/>
  </sheetPr>
  <dimension ref="A1:W20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6" customWidth="1"/>
    <col min="2" max="2" width="15" customWidth="1"/>
    <col min="3" max="3" width="17" customWidth="1"/>
    <col min="4" max="4" width="8" customWidth="1"/>
    <col min="5" max="5" width="12" customWidth="1"/>
    <col min="6" max="6" width="26" customWidth="1"/>
    <col min="7" max="7" width="30" customWidth="1"/>
    <col min="8" max="8" width="28" customWidth="1"/>
    <col min="9" max="9" width="9" customWidth="1"/>
    <col min="10" max="10" width="11" customWidth="1"/>
    <col min="11" max="11" width="10" customWidth="1"/>
    <col min="12" max="12" width="9" customWidth="1"/>
    <col min="13" max="13" width="8" customWidth="1"/>
    <col min="14" max="14" width="10" customWidth="1"/>
    <col min="15" max="15" width="13" customWidth="1"/>
    <col min="16" max="16" width="10" customWidth="1"/>
    <col min="17" max="17" width="9" customWidth="1"/>
    <col min="18" max="18" width="10" customWidth="1"/>
    <col min="19" max="19" width="12" customWidth="1"/>
    <col min="20" max="20" width="9" customWidth="1"/>
    <col min="21" max="21" width="10" customWidth="1"/>
    <col min="22" max="22" width="18" customWidth="1"/>
    <col min="23" max="23" width="48" customWidth="1"/>
  </cols>
  <sheetData>
    <row r="1" spans="1:23" ht="21" x14ac:dyDescent="0.4">
      <c r="A1" s="15" t="s">
        <v>218</v>
      </c>
    </row>
    <row r="2" spans="1:23" x14ac:dyDescent="0.3">
      <c r="A2" s="16" t="s">
        <v>219</v>
      </c>
    </row>
    <row r="4" spans="1:23" ht="39.6" x14ac:dyDescent="0.3">
      <c r="A4" s="17" t="s">
        <v>220</v>
      </c>
      <c r="B4" s="17" t="s">
        <v>221</v>
      </c>
      <c r="C4" s="17" t="s">
        <v>222</v>
      </c>
      <c r="D4" s="17" t="s">
        <v>95</v>
      </c>
      <c r="E4" s="17" t="s">
        <v>223</v>
      </c>
      <c r="F4" s="17" t="s">
        <v>224</v>
      </c>
      <c r="G4" s="17" t="s">
        <v>225</v>
      </c>
      <c r="H4" s="17" t="s">
        <v>226</v>
      </c>
      <c r="I4" s="17" t="s">
        <v>227</v>
      </c>
      <c r="J4" s="17" t="s">
        <v>228</v>
      </c>
      <c r="K4" s="17" t="s">
        <v>229</v>
      </c>
      <c r="L4" s="17" t="s">
        <v>230</v>
      </c>
      <c r="M4" s="17" t="s">
        <v>231</v>
      </c>
      <c r="N4" s="17" t="s">
        <v>232</v>
      </c>
      <c r="O4" s="17" t="s">
        <v>233</v>
      </c>
      <c r="P4" s="17" t="s">
        <v>234</v>
      </c>
      <c r="Q4" s="17" t="s">
        <v>235</v>
      </c>
      <c r="R4" s="17" t="s">
        <v>236</v>
      </c>
      <c r="S4" s="17" t="s">
        <v>237</v>
      </c>
      <c r="T4" s="17" t="s">
        <v>238</v>
      </c>
      <c r="U4" s="17" t="s">
        <v>239</v>
      </c>
      <c r="V4" s="17" t="s">
        <v>102</v>
      </c>
      <c r="W4" s="17" t="s">
        <v>240</v>
      </c>
    </row>
    <row r="5" spans="1:23" ht="48" customHeight="1" x14ac:dyDescent="0.3">
      <c r="A5" s="6" t="s">
        <v>241</v>
      </c>
      <c r="B5" s="6" t="s">
        <v>242</v>
      </c>
      <c r="C5" s="6" t="s">
        <v>242</v>
      </c>
      <c r="D5" s="6" t="s">
        <v>243</v>
      </c>
      <c r="E5" s="6" t="s">
        <v>244</v>
      </c>
      <c r="F5" s="6" t="s">
        <v>245</v>
      </c>
      <c r="G5" s="6" t="s">
        <v>246</v>
      </c>
      <c r="H5" s="6" t="s">
        <v>247</v>
      </c>
      <c r="I5" s="28">
        <v>0.15</v>
      </c>
      <c r="J5" s="29">
        <f>I5*Inputs!$B$5</f>
        <v>37500</v>
      </c>
      <c r="K5" s="29">
        <f>J5/Inputs!$B$6</f>
        <v>1250</v>
      </c>
      <c r="L5" s="30">
        <v>30</v>
      </c>
      <c r="M5" s="31">
        <v>6.0000000000000001E-3</v>
      </c>
      <c r="N5" s="32">
        <v>1E-3</v>
      </c>
      <c r="O5" s="29">
        <f t="shared" ref="O5:O12" si="0">J5/L5*1000</f>
        <v>1250000</v>
      </c>
      <c r="P5" s="29">
        <f t="shared" ref="P5:P12" si="1">O5*M5</f>
        <v>7500</v>
      </c>
      <c r="Q5" s="33">
        <f t="shared" ref="Q5:Q13" si="2">IFERROR(J5/P5,0)</f>
        <v>5</v>
      </c>
      <c r="R5" s="34">
        <f t="shared" ref="R5:R12" si="3">P5*N5</f>
        <v>7.5</v>
      </c>
      <c r="S5" s="29">
        <f>R5*Inputs!$B$7</f>
        <v>33750</v>
      </c>
      <c r="T5" s="35">
        <f t="shared" ref="T5:T13" si="4">IFERROR(S5/J5,0)</f>
        <v>0.9</v>
      </c>
      <c r="U5" s="29">
        <f t="shared" ref="U5:U13" si="5">IFERROR(J5/R5,0)</f>
        <v>5000</v>
      </c>
      <c r="V5" s="6" t="s">
        <v>248</v>
      </c>
      <c r="W5" s="6" t="s">
        <v>249</v>
      </c>
    </row>
    <row r="6" spans="1:23" ht="48" customHeight="1" x14ac:dyDescent="0.3">
      <c r="A6" s="6" t="s">
        <v>250</v>
      </c>
      <c r="B6" s="6" t="s">
        <v>251</v>
      </c>
      <c r="C6" s="6" t="s">
        <v>251</v>
      </c>
      <c r="D6" s="6" t="s">
        <v>243</v>
      </c>
      <c r="E6" s="6" t="s">
        <v>252</v>
      </c>
      <c r="F6" s="6" t="s">
        <v>253</v>
      </c>
      <c r="G6" s="6" t="s">
        <v>254</v>
      </c>
      <c r="H6" s="6" t="s">
        <v>255</v>
      </c>
      <c r="I6" s="28">
        <v>0.05</v>
      </c>
      <c r="J6" s="29">
        <f>I6*Inputs!$B$5</f>
        <v>12500</v>
      </c>
      <c r="K6" s="29">
        <f>J6/Inputs!$B$6</f>
        <v>416.66666666666669</v>
      </c>
      <c r="L6" s="30">
        <v>45</v>
      </c>
      <c r="M6" s="31">
        <v>3.0000000000000001E-3</v>
      </c>
      <c r="N6" s="32">
        <v>2.5000000000000001E-3</v>
      </c>
      <c r="O6" s="29">
        <f t="shared" si="0"/>
        <v>277777.77777777775</v>
      </c>
      <c r="P6" s="29">
        <f t="shared" si="1"/>
        <v>833.33333333333326</v>
      </c>
      <c r="Q6" s="33">
        <f t="shared" si="2"/>
        <v>15.000000000000002</v>
      </c>
      <c r="R6" s="34">
        <f t="shared" si="3"/>
        <v>2.083333333333333</v>
      </c>
      <c r="S6" s="29">
        <f>R6*Inputs!$B$7</f>
        <v>9374.9999999999982</v>
      </c>
      <c r="T6" s="35">
        <f t="shared" si="4"/>
        <v>0.74999999999999989</v>
      </c>
      <c r="U6" s="29">
        <f t="shared" si="5"/>
        <v>6000.0000000000009</v>
      </c>
      <c r="V6" s="6" t="s">
        <v>256</v>
      </c>
      <c r="W6" s="6" t="s">
        <v>257</v>
      </c>
    </row>
    <row r="7" spans="1:23" ht="48" customHeight="1" x14ac:dyDescent="0.3">
      <c r="A7" s="6" t="s">
        <v>258</v>
      </c>
      <c r="B7" s="6" t="s">
        <v>259</v>
      </c>
      <c r="C7" s="6" t="s">
        <v>259</v>
      </c>
      <c r="D7" s="6" t="s">
        <v>260</v>
      </c>
      <c r="E7" s="6" t="s">
        <v>252</v>
      </c>
      <c r="F7" s="6" t="s">
        <v>261</v>
      </c>
      <c r="G7" s="6" t="s">
        <v>262</v>
      </c>
      <c r="H7" s="6" t="s">
        <v>263</v>
      </c>
      <c r="I7" s="28">
        <v>0.05</v>
      </c>
      <c r="J7" s="29">
        <f>I7*Inputs!$B$5</f>
        <v>12500</v>
      </c>
      <c r="K7" s="29">
        <f>J7/Inputs!$B$6</f>
        <v>416.66666666666669</v>
      </c>
      <c r="L7" s="30">
        <v>25</v>
      </c>
      <c r="M7" s="31">
        <v>5.0000000000000001E-3</v>
      </c>
      <c r="N7" s="32">
        <v>1.1999999999999999E-3</v>
      </c>
      <c r="O7" s="29">
        <f t="shared" si="0"/>
        <v>500000</v>
      </c>
      <c r="P7" s="29">
        <f t="shared" si="1"/>
        <v>2500</v>
      </c>
      <c r="Q7" s="33">
        <f t="shared" si="2"/>
        <v>5</v>
      </c>
      <c r="R7" s="34">
        <f t="shared" si="3"/>
        <v>2.9999999999999996</v>
      </c>
      <c r="S7" s="29">
        <f>R7*Inputs!$B$7</f>
        <v>13499.999999999998</v>
      </c>
      <c r="T7" s="35">
        <f t="shared" si="4"/>
        <v>1.0799999999999998</v>
      </c>
      <c r="U7" s="29">
        <f t="shared" si="5"/>
        <v>4166.666666666667</v>
      </c>
      <c r="V7" s="6" t="s">
        <v>264</v>
      </c>
      <c r="W7" s="6" t="s">
        <v>265</v>
      </c>
    </row>
    <row r="8" spans="1:23" ht="48" customHeight="1" x14ac:dyDescent="0.3">
      <c r="A8" s="6" t="s">
        <v>266</v>
      </c>
      <c r="B8" s="6" t="s">
        <v>267</v>
      </c>
      <c r="C8" s="6" t="s">
        <v>268</v>
      </c>
      <c r="D8" s="6" t="s">
        <v>260</v>
      </c>
      <c r="E8" s="6" t="s">
        <v>269</v>
      </c>
      <c r="F8" s="6" t="s">
        <v>270</v>
      </c>
      <c r="G8" s="6" t="s">
        <v>271</v>
      </c>
      <c r="H8" s="6" t="s">
        <v>272</v>
      </c>
      <c r="I8" s="28">
        <v>0.2</v>
      </c>
      <c r="J8" s="29">
        <f>I8*Inputs!$B$5</f>
        <v>50000</v>
      </c>
      <c r="K8" s="29">
        <f>J8/Inputs!$B$6</f>
        <v>1666.6666666666667</v>
      </c>
      <c r="L8" s="30">
        <v>55</v>
      </c>
      <c r="M8" s="31">
        <v>1.0999999999999999E-2</v>
      </c>
      <c r="N8" s="32">
        <v>3.0000000000000001E-3</v>
      </c>
      <c r="O8" s="29">
        <f t="shared" si="0"/>
        <v>909090.90909090918</v>
      </c>
      <c r="P8" s="29">
        <f t="shared" si="1"/>
        <v>10000</v>
      </c>
      <c r="Q8" s="33">
        <f t="shared" si="2"/>
        <v>5</v>
      </c>
      <c r="R8" s="34">
        <f t="shared" si="3"/>
        <v>30</v>
      </c>
      <c r="S8" s="29">
        <f>R8*Inputs!$B$7</f>
        <v>135000</v>
      </c>
      <c r="T8" s="35">
        <f t="shared" si="4"/>
        <v>2.7</v>
      </c>
      <c r="U8" s="29">
        <f t="shared" si="5"/>
        <v>1666.6666666666667</v>
      </c>
      <c r="V8" s="6" t="s">
        <v>273</v>
      </c>
      <c r="W8" s="6" t="s">
        <v>274</v>
      </c>
    </row>
    <row r="9" spans="1:23" ht="48" customHeight="1" x14ac:dyDescent="0.3">
      <c r="A9" s="6" t="s">
        <v>275</v>
      </c>
      <c r="B9" s="6" t="s">
        <v>276</v>
      </c>
      <c r="C9" s="6" t="s">
        <v>276</v>
      </c>
      <c r="D9" s="6" t="s">
        <v>277</v>
      </c>
      <c r="E9" s="6" t="s">
        <v>269</v>
      </c>
      <c r="F9" s="6" t="s">
        <v>278</v>
      </c>
      <c r="G9" s="6" t="s">
        <v>279</v>
      </c>
      <c r="H9" s="6" t="s">
        <v>280</v>
      </c>
      <c r="I9" s="28">
        <v>0.22</v>
      </c>
      <c r="J9" s="29">
        <f>I9*Inputs!$B$5</f>
        <v>55000</v>
      </c>
      <c r="K9" s="29">
        <f>J9/Inputs!$B$6</f>
        <v>1833.3333333333333</v>
      </c>
      <c r="L9" s="30">
        <v>360</v>
      </c>
      <c r="M9" s="31">
        <v>0.06</v>
      </c>
      <c r="N9" s="32">
        <v>7.4999999999999997E-3</v>
      </c>
      <c r="O9" s="29">
        <f t="shared" si="0"/>
        <v>152777.77777777778</v>
      </c>
      <c r="P9" s="29">
        <f t="shared" si="1"/>
        <v>9166.6666666666661</v>
      </c>
      <c r="Q9" s="33">
        <f t="shared" si="2"/>
        <v>6</v>
      </c>
      <c r="R9" s="34">
        <f t="shared" si="3"/>
        <v>68.75</v>
      </c>
      <c r="S9" s="29">
        <f>R9*Inputs!$B$7</f>
        <v>309375</v>
      </c>
      <c r="T9" s="35">
        <f t="shared" si="4"/>
        <v>5.625</v>
      </c>
      <c r="U9" s="29">
        <f t="shared" si="5"/>
        <v>800</v>
      </c>
      <c r="V9" s="6" t="s">
        <v>132</v>
      </c>
      <c r="W9" s="6" t="s">
        <v>281</v>
      </c>
    </row>
    <row r="10" spans="1:23" ht="48" customHeight="1" x14ac:dyDescent="0.3">
      <c r="A10" s="6" t="s">
        <v>282</v>
      </c>
      <c r="B10" s="6" t="s">
        <v>283</v>
      </c>
      <c r="C10" s="6" t="s">
        <v>283</v>
      </c>
      <c r="D10" s="6" t="s">
        <v>277</v>
      </c>
      <c r="E10" s="6" t="s">
        <v>269</v>
      </c>
      <c r="F10" s="6" t="s">
        <v>284</v>
      </c>
      <c r="G10" s="6" t="s">
        <v>285</v>
      </c>
      <c r="H10" s="6" t="s">
        <v>286</v>
      </c>
      <c r="I10" s="28">
        <v>0.13</v>
      </c>
      <c r="J10" s="29">
        <f>I10*Inputs!$B$5</f>
        <v>32500</v>
      </c>
      <c r="K10" s="29">
        <f>J10/Inputs!$B$6</f>
        <v>1083.3333333333333</v>
      </c>
      <c r="L10" s="30">
        <v>70</v>
      </c>
      <c r="M10" s="31">
        <v>1.4999999999999999E-2</v>
      </c>
      <c r="N10" s="32">
        <v>4.0000000000000001E-3</v>
      </c>
      <c r="O10" s="29">
        <f t="shared" si="0"/>
        <v>464285.71428571426</v>
      </c>
      <c r="P10" s="29">
        <f t="shared" si="1"/>
        <v>6964.2857142857138</v>
      </c>
      <c r="Q10" s="33">
        <f t="shared" si="2"/>
        <v>4.666666666666667</v>
      </c>
      <c r="R10" s="34">
        <f t="shared" si="3"/>
        <v>27.857142857142854</v>
      </c>
      <c r="S10" s="29">
        <f>R10*Inputs!$B$7</f>
        <v>125357.14285714284</v>
      </c>
      <c r="T10" s="35">
        <f t="shared" si="4"/>
        <v>3.8571428571428568</v>
      </c>
      <c r="U10" s="29">
        <f t="shared" si="5"/>
        <v>1166.6666666666667</v>
      </c>
      <c r="V10" s="6" t="s">
        <v>287</v>
      </c>
      <c r="W10" s="6" t="s">
        <v>288</v>
      </c>
    </row>
    <row r="11" spans="1:23" ht="48" customHeight="1" x14ac:dyDescent="0.3">
      <c r="A11" s="6" t="s">
        <v>289</v>
      </c>
      <c r="B11" s="6" t="s">
        <v>267</v>
      </c>
      <c r="C11" s="6" t="s">
        <v>290</v>
      </c>
      <c r="D11" s="6" t="s">
        <v>277</v>
      </c>
      <c r="E11" s="6" t="s">
        <v>269</v>
      </c>
      <c r="F11" s="6" t="s">
        <v>291</v>
      </c>
      <c r="G11" s="6" t="s">
        <v>292</v>
      </c>
      <c r="H11" s="6" t="s">
        <v>293</v>
      </c>
      <c r="I11" s="28">
        <v>0.15</v>
      </c>
      <c r="J11" s="29">
        <f>I11*Inputs!$B$5</f>
        <v>37500</v>
      </c>
      <c r="K11" s="29">
        <f>J11/Inputs!$B$6</f>
        <v>1250</v>
      </c>
      <c r="L11" s="30">
        <v>80</v>
      </c>
      <c r="M11" s="31">
        <v>1.7999999999999999E-2</v>
      </c>
      <c r="N11" s="32">
        <v>7.0000000000000001E-3</v>
      </c>
      <c r="O11" s="29">
        <f t="shared" si="0"/>
        <v>468750</v>
      </c>
      <c r="P11" s="29">
        <f t="shared" si="1"/>
        <v>8437.5</v>
      </c>
      <c r="Q11" s="33">
        <f t="shared" si="2"/>
        <v>4.4444444444444446</v>
      </c>
      <c r="R11" s="34">
        <f t="shared" si="3"/>
        <v>59.0625</v>
      </c>
      <c r="S11" s="29">
        <f>R11*Inputs!$B$7</f>
        <v>265781.25</v>
      </c>
      <c r="T11" s="35">
        <f t="shared" si="4"/>
        <v>7.0875000000000004</v>
      </c>
      <c r="U11" s="29">
        <f t="shared" si="5"/>
        <v>634.92063492063494</v>
      </c>
      <c r="V11" s="6" t="s">
        <v>294</v>
      </c>
      <c r="W11" s="6" t="s">
        <v>295</v>
      </c>
    </row>
    <row r="12" spans="1:23" ht="48" customHeight="1" x14ac:dyDescent="0.3">
      <c r="A12" s="6" t="s">
        <v>296</v>
      </c>
      <c r="B12" s="6" t="s">
        <v>216</v>
      </c>
      <c r="C12" s="6" t="s">
        <v>297</v>
      </c>
      <c r="D12" s="6" t="s">
        <v>298</v>
      </c>
      <c r="E12" s="6" t="s">
        <v>244</v>
      </c>
      <c r="F12" s="6" t="s">
        <v>299</v>
      </c>
      <c r="G12" s="6" t="s">
        <v>300</v>
      </c>
      <c r="H12" s="6" t="s">
        <v>301</v>
      </c>
      <c r="I12" s="28">
        <v>0.05</v>
      </c>
      <c r="J12" s="29">
        <f>I12*Inputs!$B$5</f>
        <v>12500</v>
      </c>
      <c r="K12" s="29">
        <f>J12/Inputs!$B$6</f>
        <v>416.66666666666669</v>
      </c>
      <c r="L12" s="30">
        <v>600</v>
      </c>
      <c r="M12" s="31">
        <v>0.08</v>
      </c>
      <c r="N12" s="32">
        <v>0.02</v>
      </c>
      <c r="O12" s="29">
        <f t="shared" si="0"/>
        <v>20833.333333333332</v>
      </c>
      <c r="P12" s="29">
        <f t="shared" si="1"/>
        <v>1666.6666666666665</v>
      </c>
      <c r="Q12" s="33">
        <f t="shared" si="2"/>
        <v>7.5000000000000009</v>
      </c>
      <c r="R12" s="34">
        <f t="shared" si="3"/>
        <v>33.333333333333329</v>
      </c>
      <c r="S12" s="29">
        <f>R12*Inputs!$B$7</f>
        <v>149999.99999999997</v>
      </c>
      <c r="T12" s="35">
        <f t="shared" si="4"/>
        <v>11.999999999999998</v>
      </c>
      <c r="U12" s="29">
        <f t="shared" si="5"/>
        <v>375.00000000000006</v>
      </c>
      <c r="V12" s="6" t="s">
        <v>302</v>
      </c>
      <c r="W12" s="6" t="s">
        <v>303</v>
      </c>
    </row>
    <row r="13" spans="1:23" ht="52.8" x14ac:dyDescent="0.3">
      <c r="A13" s="36" t="s">
        <v>304</v>
      </c>
      <c r="B13" s="37"/>
      <c r="C13" s="37"/>
      <c r="D13" s="37"/>
      <c r="E13" s="37"/>
      <c r="F13" s="37"/>
      <c r="G13" s="37"/>
      <c r="H13" s="37"/>
      <c r="I13" s="38">
        <f>SUM(I5:I12)</f>
        <v>1</v>
      </c>
      <c r="J13" s="39">
        <f>SUM(J5:J12)</f>
        <v>250000</v>
      </c>
      <c r="K13" s="39">
        <f>SUM(K5:K12)</f>
        <v>8333.3333333333321</v>
      </c>
      <c r="L13" s="40"/>
      <c r="M13" s="41"/>
      <c r="N13" s="42"/>
      <c r="O13" s="39">
        <f>SUM(O5:O12)</f>
        <v>4043515.5122655127</v>
      </c>
      <c r="P13" s="39">
        <f>SUM(P5:P12)</f>
        <v>47068.452380952374</v>
      </c>
      <c r="Q13" s="43">
        <f t="shared" si="2"/>
        <v>5.3114132153019291</v>
      </c>
      <c r="R13" s="44">
        <f>SUM(R5:R12)</f>
        <v>231.58630952380952</v>
      </c>
      <c r="S13" s="39">
        <f>SUM(S5:S12)</f>
        <v>1042138.3928571428</v>
      </c>
      <c r="T13" s="45">
        <f t="shared" si="4"/>
        <v>4.1685535714285713</v>
      </c>
      <c r="U13" s="39">
        <f t="shared" si="5"/>
        <v>1079.5111356714174</v>
      </c>
      <c r="V13" s="37"/>
      <c r="W13" s="37"/>
    </row>
    <row r="14" spans="1:23" x14ac:dyDescent="0.3">
      <c r="I14" s="46" t="str">
        <f>IF(ROUND(I13,4)=1,"OK: shares sum to 100%","CHECK: shares must sum to 100%")</f>
        <v>OK: shares sum to 100%</v>
      </c>
    </row>
    <row r="16" spans="1:23" x14ac:dyDescent="0.3">
      <c r="A16" s="47" t="s">
        <v>305</v>
      </c>
    </row>
    <row r="17" spans="1:1" x14ac:dyDescent="0.3">
      <c r="A17" s="48" t="s">
        <v>306</v>
      </c>
    </row>
    <row r="18" spans="1:1" x14ac:dyDescent="0.3">
      <c r="A18" s="48" t="s">
        <v>307</v>
      </c>
    </row>
    <row r="19" spans="1:1" x14ac:dyDescent="0.3">
      <c r="A19" s="48" t="s">
        <v>308</v>
      </c>
    </row>
    <row r="20" spans="1:1" x14ac:dyDescent="0.3">
      <c r="A20" s="48" t="s">
        <v>309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58A3"/>
  </sheetPr>
  <dimension ref="A1:F34"/>
  <sheetViews>
    <sheetView showGridLines="0" zoomScaleNormal="100" workbookViewId="0">
      <selection activeCell="A12" sqref="A12"/>
    </sheetView>
  </sheetViews>
  <sheetFormatPr defaultColWidth="8.6640625" defaultRowHeight="14.4" x14ac:dyDescent="0.3"/>
  <cols>
    <col min="1" max="1" width="18" customWidth="1"/>
    <col min="2" max="2" width="16" customWidth="1"/>
    <col min="3" max="3" width="14" customWidth="1"/>
    <col min="4" max="4" width="16" customWidth="1"/>
    <col min="5" max="5" width="48" customWidth="1"/>
    <col min="6" max="6" width="36" customWidth="1"/>
  </cols>
  <sheetData>
    <row r="1" spans="1:6" ht="21" x14ac:dyDescent="0.4">
      <c r="A1" s="15" t="s">
        <v>26</v>
      </c>
    </row>
    <row r="2" spans="1:6" x14ac:dyDescent="0.3">
      <c r="A2" s="16" t="s">
        <v>310</v>
      </c>
    </row>
    <row r="4" spans="1:6" ht="15.6" x14ac:dyDescent="0.3">
      <c r="A4" s="4" t="s">
        <v>311</v>
      </c>
    </row>
    <row r="5" spans="1:6" x14ac:dyDescent="0.3">
      <c r="A5" s="17" t="s">
        <v>95</v>
      </c>
      <c r="B5" s="17" t="s">
        <v>228</v>
      </c>
      <c r="C5" s="17" t="s">
        <v>312</v>
      </c>
      <c r="D5" s="17" t="s">
        <v>237</v>
      </c>
      <c r="E5" s="17" t="s">
        <v>238</v>
      </c>
      <c r="F5" s="17" t="s">
        <v>313</v>
      </c>
    </row>
    <row r="6" spans="1:6" x14ac:dyDescent="0.3">
      <c r="A6" s="6" t="s">
        <v>243</v>
      </c>
      <c r="B6" s="23">
        <f>SUMIFS('Media Plan'!$J$5:$J$12,'Media Plan'!$D$5:$D$12,A6)</f>
        <v>50000</v>
      </c>
      <c r="C6" s="49">
        <f>B6/Inputs!$B$5</f>
        <v>0.2</v>
      </c>
      <c r="D6" s="23">
        <f>SUMIFS('Media Plan'!$S$5:$S$12,'Media Plan'!$D$5:$D$12,A6)</f>
        <v>43125</v>
      </c>
      <c r="E6" s="21">
        <f>IFERROR(D6/B6,0)</f>
        <v>0.86250000000000004</v>
      </c>
      <c r="F6" s="6" t="s">
        <v>314</v>
      </c>
    </row>
    <row r="7" spans="1:6" x14ac:dyDescent="0.3">
      <c r="A7" s="6" t="s">
        <v>260</v>
      </c>
      <c r="B7" s="23">
        <f>SUMIFS('Media Plan'!$J$5:$J$12,'Media Plan'!$D$5:$D$12,A7)</f>
        <v>62500</v>
      </c>
      <c r="C7" s="49">
        <f>B7/Inputs!$B$5</f>
        <v>0.25</v>
      </c>
      <c r="D7" s="23">
        <f>SUMIFS('Media Plan'!$S$5:$S$12,'Media Plan'!$D$5:$D$12,A7)</f>
        <v>148500</v>
      </c>
      <c r="E7" s="21">
        <f>IFERROR(D7/B7,0)</f>
        <v>2.3759999999999999</v>
      </c>
      <c r="F7" s="6" t="s">
        <v>315</v>
      </c>
    </row>
    <row r="8" spans="1:6" x14ac:dyDescent="0.3">
      <c r="A8" s="6" t="s">
        <v>277</v>
      </c>
      <c r="B8" s="23">
        <f>SUMIFS('Media Plan'!$J$5:$J$12,'Media Plan'!$D$5:$D$12,A8)</f>
        <v>125000</v>
      </c>
      <c r="C8" s="49">
        <f>B8/Inputs!$B$5</f>
        <v>0.5</v>
      </c>
      <c r="D8" s="23">
        <f>SUMIFS('Media Plan'!$S$5:$S$12,'Media Plan'!$D$5:$D$12,A8)</f>
        <v>700513.39285714284</v>
      </c>
      <c r="E8" s="21">
        <f>IFERROR(D8/B8,0)</f>
        <v>5.604107142857143</v>
      </c>
      <c r="F8" s="6" t="s">
        <v>316</v>
      </c>
    </row>
    <row r="9" spans="1:6" x14ac:dyDescent="0.3">
      <c r="A9" s="6" t="s">
        <v>298</v>
      </c>
      <c r="B9" s="23">
        <f>SUMIFS('Media Plan'!$J$5:$J$12,'Media Plan'!$D$5:$D$12,A9)</f>
        <v>12500</v>
      </c>
      <c r="C9" s="49">
        <f>B9/Inputs!$B$5</f>
        <v>0.05</v>
      </c>
      <c r="D9" s="23">
        <f>SUMIFS('Media Plan'!$S$5:$S$12,'Media Plan'!$D$5:$D$12,A9)</f>
        <v>149999.99999999997</v>
      </c>
      <c r="E9" s="21">
        <f>IFERROR(D9/B9,0)</f>
        <v>11.999999999999998</v>
      </c>
      <c r="F9" s="6" t="s">
        <v>317</v>
      </c>
    </row>
    <row r="10" spans="1:6" x14ac:dyDescent="0.3">
      <c r="A10" s="5" t="s">
        <v>318</v>
      </c>
      <c r="B10" s="50">
        <f>SUM(B6:B9)</f>
        <v>250000</v>
      </c>
      <c r="C10" s="51">
        <f>SUM(C6:C9)</f>
        <v>1</v>
      </c>
      <c r="D10" s="50">
        <f>SUM(D6:D9)</f>
        <v>1042138.3928571428</v>
      </c>
      <c r="E10" s="52">
        <f>IFERROR(D10/B10,0)</f>
        <v>4.1685535714285713</v>
      </c>
      <c r="F10" s="6"/>
    </row>
    <row r="12" spans="1:6" ht="15.6" x14ac:dyDescent="0.3">
      <c r="A12" s="4" t="s">
        <v>759</v>
      </c>
    </row>
    <row r="13" spans="1:6" x14ac:dyDescent="0.3">
      <c r="A13" s="17" t="s">
        <v>319</v>
      </c>
      <c r="B13" s="17" t="s">
        <v>320</v>
      </c>
      <c r="C13" s="17" t="s">
        <v>321</v>
      </c>
      <c r="D13" s="17" t="s">
        <v>322</v>
      </c>
      <c r="E13" s="17" t="s">
        <v>323</v>
      </c>
    </row>
    <row r="14" spans="1:6" x14ac:dyDescent="0.3">
      <c r="A14" s="6" t="s">
        <v>269</v>
      </c>
      <c r="B14" s="49">
        <f>SUMIFS('Media Plan'!$I$5:$I$12,'Media Plan'!$E$5:$E$12,A14)</f>
        <v>0.70000000000000007</v>
      </c>
      <c r="C14" s="25">
        <v>0.7</v>
      </c>
      <c r="D14" s="49">
        <f>B14-C14</f>
        <v>0</v>
      </c>
      <c r="E14" s="6" t="s">
        <v>324</v>
      </c>
    </row>
    <row r="15" spans="1:6" x14ac:dyDescent="0.3">
      <c r="A15" s="6" t="s">
        <v>244</v>
      </c>
      <c r="B15" s="49">
        <f>SUMIFS('Media Plan'!$I$5:$I$12,'Media Plan'!$E$5:$E$12,A15)</f>
        <v>0.2</v>
      </c>
      <c r="C15" s="25">
        <v>0.2</v>
      </c>
      <c r="D15" s="49">
        <f>B15-C15</f>
        <v>0</v>
      </c>
      <c r="E15" s="6" t="s">
        <v>325</v>
      </c>
    </row>
    <row r="16" spans="1:6" x14ac:dyDescent="0.3">
      <c r="A16" s="6" t="s">
        <v>252</v>
      </c>
      <c r="B16" s="49">
        <f>SUMIFS('Media Plan'!$I$5:$I$12,'Media Plan'!$E$5:$E$12,A16)</f>
        <v>0.1</v>
      </c>
      <c r="C16" s="25">
        <v>0.1</v>
      </c>
      <c r="D16" s="49">
        <f>B16-C16</f>
        <v>0</v>
      </c>
      <c r="E16" s="6" t="s">
        <v>326</v>
      </c>
    </row>
    <row r="18" spans="1:5" ht="15.6" x14ac:dyDescent="0.3">
      <c r="A18" s="4" t="s">
        <v>327</v>
      </c>
    </row>
    <row r="19" spans="1:5" x14ac:dyDescent="0.3">
      <c r="A19" s="17" t="s">
        <v>221</v>
      </c>
      <c r="B19" s="53" t="s">
        <v>228</v>
      </c>
      <c r="C19" s="17" t="s">
        <v>312</v>
      </c>
    </row>
    <row r="20" spans="1:5" x14ac:dyDescent="0.3">
      <c r="A20" s="6" t="s">
        <v>242</v>
      </c>
      <c r="B20" s="23">
        <f>SUMIFS('Media Plan'!$J$5:$J$12,'Media Plan'!$B$5:$B$12,A20)</f>
        <v>37500</v>
      </c>
      <c r="C20" s="49">
        <f>B20/Inputs!$B$5</f>
        <v>0.15</v>
      </c>
    </row>
    <row r="21" spans="1:5" x14ac:dyDescent="0.3">
      <c r="A21" s="6" t="s">
        <v>251</v>
      </c>
      <c r="B21" s="23">
        <f>SUMIFS('Media Plan'!$J$5:$J$12,'Media Plan'!$B$5:$B$12,A21)</f>
        <v>12500</v>
      </c>
      <c r="C21" s="49">
        <f>B21/Inputs!$B$5</f>
        <v>0.05</v>
      </c>
    </row>
    <row r="22" spans="1:5" x14ac:dyDescent="0.3">
      <c r="A22" s="6" t="s">
        <v>259</v>
      </c>
      <c r="B22" s="23">
        <f>SUMIFS('Media Plan'!$J$5:$J$12,'Media Plan'!$B$5:$B$12,A22)</f>
        <v>12500</v>
      </c>
      <c r="C22" s="49">
        <f>B22/Inputs!$B$5</f>
        <v>0.05</v>
      </c>
    </row>
    <row r="23" spans="1:5" x14ac:dyDescent="0.3">
      <c r="A23" s="6" t="s">
        <v>267</v>
      </c>
      <c r="B23" s="23">
        <f>SUMIFS('Media Plan'!$J$5:$J$12,'Media Plan'!$B$5:$B$12,A23)</f>
        <v>87500</v>
      </c>
      <c r="C23" s="49">
        <f>B23/Inputs!$B$5</f>
        <v>0.35</v>
      </c>
    </row>
    <row r="24" spans="1:5" x14ac:dyDescent="0.3">
      <c r="A24" s="6" t="s">
        <v>276</v>
      </c>
      <c r="B24" s="23">
        <f>SUMIFS('Media Plan'!$J$5:$J$12,'Media Plan'!$B$5:$B$12,A24)</f>
        <v>55000</v>
      </c>
      <c r="C24" s="49">
        <f>B24/Inputs!$B$5</f>
        <v>0.22</v>
      </c>
    </row>
    <row r="25" spans="1:5" x14ac:dyDescent="0.3">
      <c r="A25" s="6" t="s">
        <v>283</v>
      </c>
      <c r="B25" s="23">
        <f>SUMIFS('Media Plan'!$J$5:$J$12,'Media Plan'!$B$5:$B$12,A25)</f>
        <v>32500</v>
      </c>
      <c r="C25" s="49">
        <f>B25/Inputs!$B$5</f>
        <v>0.13</v>
      </c>
    </row>
    <row r="26" spans="1:5" x14ac:dyDescent="0.3">
      <c r="A26" s="6" t="s">
        <v>216</v>
      </c>
      <c r="B26" s="23">
        <f>SUMIFS('Media Plan'!$J$5:$J$12,'Media Plan'!$B$5:$B$12,A26)</f>
        <v>12500</v>
      </c>
      <c r="C26" s="49">
        <f>B26/Inputs!$B$5</f>
        <v>0.05</v>
      </c>
    </row>
    <row r="28" spans="1:5" ht="15.6" x14ac:dyDescent="0.3">
      <c r="A28" s="4" t="s">
        <v>328</v>
      </c>
    </row>
    <row r="29" spans="1:5" ht="26.4" x14ac:dyDescent="0.3">
      <c r="A29" s="17" t="s">
        <v>329</v>
      </c>
      <c r="B29" s="53" t="s">
        <v>330</v>
      </c>
      <c r="C29" s="17" t="s">
        <v>331</v>
      </c>
      <c r="D29" s="53" t="s">
        <v>332</v>
      </c>
      <c r="E29" s="17" t="s">
        <v>333</v>
      </c>
    </row>
    <row r="30" spans="1:5" x14ac:dyDescent="0.3">
      <c r="A30" s="6" t="s">
        <v>334</v>
      </c>
      <c r="B30" s="19">
        <v>7</v>
      </c>
      <c r="C30" s="23">
        <f>Inputs!$B$5/Inputs!$B$6*B30</f>
        <v>58333.333333333336</v>
      </c>
      <c r="D30" s="23">
        <f>SUM($C$30:C30)</f>
        <v>58333.333333333336</v>
      </c>
      <c r="E30" s="49">
        <f>D30/Inputs!$B$5</f>
        <v>0.23333333333333334</v>
      </c>
    </row>
    <row r="31" spans="1:5" x14ac:dyDescent="0.3">
      <c r="A31" s="6" t="s">
        <v>335</v>
      </c>
      <c r="B31" s="19">
        <v>7</v>
      </c>
      <c r="C31" s="23">
        <f>Inputs!$B$5/Inputs!$B$6*B31</f>
        <v>58333.333333333336</v>
      </c>
      <c r="D31" s="23">
        <f>SUM($C$30:C31)</f>
        <v>116666.66666666667</v>
      </c>
      <c r="E31" s="49">
        <f>D31/Inputs!$B$5</f>
        <v>0.46666666666666667</v>
      </c>
    </row>
    <row r="32" spans="1:5" x14ac:dyDescent="0.3">
      <c r="A32" s="6" t="s">
        <v>336</v>
      </c>
      <c r="B32" s="19">
        <v>7</v>
      </c>
      <c r="C32" s="23">
        <f>Inputs!$B$5/Inputs!$B$6*B32</f>
        <v>58333.333333333336</v>
      </c>
      <c r="D32" s="23">
        <f>SUM($C$30:C32)</f>
        <v>175000</v>
      </c>
      <c r="E32" s="49">
        <f>D32/Inputs!$B$5</f>
        <v>0.7</v>
      </c>
    </row>
    <row r="33" spans="1:5" x14ac:dyDescent="0.3">
      <c r="A33" s="6" t="s">
        <v>337</v>
      </c>
      <c r="B33" s="19">
        <v>9</v>
      </c>
      <c r="C33" s="23">
        <f>Inputs!$B$5/Inputs!$B$6*B33</f>
        <v>75000</v>
      </c>
      <c r="D33" s="23">
        <f>SUM($C$30:C33)</f>
        <v>250000</v>
      </c>
      <c r="E33" s="49">
        <f>D33/Inputs!$B$5</f>
        <v>1</v>
      </c>
    </row>
    <row r="34" spans="1:5" x14ac:dyDescent="0.3">
      <c r="A34" s="16" t="s">
        <v>338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58A3"/>
  </sheetPr>
  <dimension ref="A1:H31"/>
  <sheetViews>
    <sheetView showGridLines="0" topLeftCell="A4" zoomScaleNormal="100" workbookViewId="0">
      <selection activeCell="A4" sqref="A4"/>
    </sheetView>
  </sheetViews>
  <sheetFormatPr defaultColWidth="8.6640625" defaultRowHeight="14.4" x14ac:dyDescent="0.3"/>
  <cols>
    <col min="1" max="2" width="16" customWidth="1"/>
    <col min="3" max="3" width="22" customWidth="1"/>
    <col min="4" max="4" width="40" customWidth="1"/>
    <col min="5" max="5" width="44" customWidth="1"/>
    <col min="6" max="7" width="22" customWidth="1"/>
    <col min="8" max="8" width="46" customWidth="1"/>
  </cols>
  <sheetData>
    <row r="1" spans="1:7" ht="21" x14ac:dyDescent="0.4">
      <c r="A1" s="15" t="s">
        <v>339</v>
      </c>
    </row>
    <row r="2" spans="1:7" x14ac:dyDescent="0.3">
      <c r="A2" s="16" t="s">
        <v>340</v>
      </c>
    </row>
    <row r="4" spans="1:7" ht="15.6" x14ac:dyDescent="0.3">
      <c r="A4" s="4" t="s">
        <v>761</v>
      </c>
    </row>
    <row r="5" spans="1:7" x14ac:dyDescent="0.3">
      <c r="A5" s="17" t="s">
        <v>341</v>
      </c>
      <c r="B5" s="17" t="s">
        <v>342</v>
      </c>
      <c r="C5" s="17" t="s">
        <v>343</v>
      </c>
      <c r="D5" s="17" t="s">
        <v>344</v>
      </c>
      <c r="E5" s="17" t="s">
        <v>345</v>
      </c>
    </row>
    <row r="6" spans="1:7" ht="52.8" x14ac:dyDescent="0.3">
      <c r="A6" s="6" t="s">
        <v>346</v>
      </c>
      <c r="B6" s="6" t="s">
        <v>347</v>
      </c>
      <c r="C6" s="6" t="s">
        <v>348</v>
      </c>
      <c r="D6" s="6" t="s">
        <v>349</v>
      </c>
      <c r="E6" s="6" t="s">
        <v>350</v>
      </c>
    </row>
    <row r="7" spans="1:7" ht="39.6" x14ac:dyDescent="0.3">
      <c r="A7" s="6" t="s">
        <v>351</v>
      </c>
      <c r="B7" s="6" t="s">
        <v>352</v>
      </c>
      <c r="C7" s="6" t="s">
        <v>353</v>
      </c>
      <c r="D7" s="6" t="s">
        <v>354</v>
      </c>
      <c r="E7" s="6" t="s">
        <v>355</v>
      </c>
    </row>
    <row r="8" spans="1:7" ht="66" x14ac:dyDescent="0.3">
      <c r="A8" s="6" t="s">
        <v>356</v>
      </c>
      <c r="B8" s="6" t="s">
        <v>357</v>
      </c>
      <c r="C8" s="6" t="s">
        <v>358</v>
      </c>
      <c r="D8" s="6" t="s">
        <v>359</v>
      </c>
      <c r="E8" s="6" t="s">
        <v>360</v>
      </c>
    </row>
    <row r="9" spans="1:7" ht="52.8" x14ac:dyDescent="0.3">
      <c r="A9" s="6" t="s">
        <v>361</v>
      </c>
      <c r="B9" s="6" t="s">
        <v>362</v>
      </c>
      <c r="C9" s="6" t="s">
        <v>363</v>
      </c>
      <c r="D9" s="6" t="s">
        <v>364</v>
      </c>
      <c r="E9" s="6" t="s">
        <v>365</v>
      </c>
    </row>
    <row r="11" spans="1:7" ht="15.6" x14ac:dyDescent="0.3">
      <c r="A11" s="4" t="s">
        <v>366</v>
      </c>
    </row>
    <row r="12" spans="1:7" x14ac:dyDescent="0.3">
      <c r="A12" s="17" t="s">
        <v>367</v>
      </c>
      <c r="B12" s="17" t="s">
        <v>368</v>
      </c>
      <c r="C12" s="17" t="s">
        <v>369</v>
      </c>
      <c r="D12" s="17" t="s">
        <v>370</v>
      </c>
      <c r="E12" s="17" t="s">
        <v>371</v>
      </c>
      <c r="F12" s="17" t="s">
        <v>372</v>
      </c>
      <c r="G12" s="17" t="s">
        <v>373</v>
      </c>
    </row>
    <row r="13" spans="1:7" ht="45" customHeight="1" x14ac:dyDescent="0.3">
      <c r="A13" s="6" t="s">
        <v>374</v>
      </c>
      <c r="B13" s="6" t="s">
        <v>375</v>
      </c>
      <c r="C13" s="6" t="s">
        <v>376</v>
      </c>
      <c r="D13" s="6" t="s">
        <v>377</v>
      </c>
      <c r="E13" s="6" t="s">
        <v>378</v>
      </c>
      <c r="F13" s="6" t="s">
        <v>379</v>
      </c>
      <c r="G13" s="6" t="s">
        <v>380</v>
      </c>
    </row>
    <row r="14" spans="1:7" ht="45" customHeight="1" x14ac:dyDescent="0.3">
      <c r="A14" s="6" t="s">
        <v>381</v>
      </c>
      <c r="B14" s="6" t="s">
        <v>375</v>
      </c>
      <c r="C14" s="6" t="s">
        <v>382</v>
      </c>
      <c r="D14" s="6" t="s">
        <v>383</v>
      </c>
      <c r="E14" s="6" t="s">
        <v>384</v>
      </c>
      <c r="F14" s="6" t="s">
        <v>385</v>
      </c>
      <c r="G14" s="6" t="s">
        <v>386</v>
      </c>
    </row>
    <row r="15" spans="1:7" ht="45" customHeight="1" x14ac:dyDescent="0.3">
      <c r="A15" s="6" t="s">
        <v>387</v>
      </c>
      <c r="B15" s="6" t="s">
        <v>375</v>
      </c>
      <c r="C15" s="6" t="s">
        <v>388</v>
      </c>
      <c r="D15" s="6" t="s">
        <v>389</v>
      </c>
      <c r="E15" s="6" t="s">
        <v>390</v>
      </c>
      <c r="F15" s="6" t="s">
        <v>391</v>
      </c>
      <c r="G15" s="6" t="s">
        <v>392</v>
      </c>
    </row>
    <row r="16" spans="1:7" ht="45" customHeight="1" x14ac:dyDescent="0.3">
      <c r="A16" s="6" t="s">
        <v>393</v>
      </c>
      <c r="B16" s="6" t="s">
        <v>394</v>
      </c>
      <c r="C16" s="6" t="s">
        <v>395</v>
      </c>
      <c r="D16" s="6" t="s">
        <v>396</v>
      </c>
      <c r="E16" s="6" t="s">
        <v>397</v>
      </c>
      <c r="F16" s="6" t="s">
        <v>398</v>
      </c>
      <c r="G16" s="6" t="s">
        <v>399</v>
      </c>
    </row>
    <row r="17" spans="1:8" ht="45" customHeight="1" x14ac:dyDescent="0.3">
      <c r="A17" s="6" t="s">
        <v>400</v>
      </c>
      <c r="B17" s="6" t="s">
        <v>394</v>
      </c>
      <c r="C17" s="6" t="s">
        <v>401</v>
      </c>
      <c r="D17" s="6" t="s">
        <v>402</v>
      </c>
      <c r="E17" s="6" t="s">
        <v>403</v>
      </c>
      <c r="F17" s="6" t="s">
        <v>404</v>
      </c>
      <c r="G17" s="6" t="s">
        <v>405</v>
      </c>
    </row>
    <row r="18" spans="1:8" ht="45" customHeight="1" x14ac:dyDescent="0.3">
      <c r="A18" s="6" t="s">
        <v>406</v>
      </c>
      <c r="B18" s="6" t="s">
        <v>394</v>
      </c>
      <c r="C18" s="6" t="s">
        <v>407</v>
      </c>
      <c r="D18" s="6" t="s">
        <v>408</v>
      </c>
      <c r="E18" s="6" t="s">
        <v>409</v>
      </c>
      <c r="F18" s="6" t="s">
        <v>410</v>
      </c>
      <c r="G18" s="6" t="s">
        <v>411</v>
      </c>
    </row>
    <row r="19" spans="1:8" ht="45" customHeight="1" x14ac:dyDescent="0.3">
      <c r="A19" s="6" t="s">
        <v>412</v>
      </c>
      <c r="B19" s="6" t="s">
        <v>413</v>
      </c>
      <c r="C19" s="6" t="s">
        <v>414</v>
      </c>
      <c r="D19" s="6" t="s">
        <v>415</v>
      </c>
      <c r="E19" s="6" t="s">
        <v>416</v>
      </c>
      <c r="F19" s="6" t="s">
        <v>417</v>
      </c>
      <c r="G19" s="6" t="s">
        <v>418</v>
      </c>
    </row>
    <row r="20" spans="1:8" ht="45" customHeight="1" x14ac:dyDescent="0.3">
      <c r="A20" s="6" t="s">
        <v>419</v>
      </c>
      <c r="B20" s="6" t="s">
        <v>420</v>
      </c>
      <c r="C20" s="6" t="s">
        <v>344</v>
      </c>
      <c r="D20" s="6" t="s">
        <v>421</v>
      </c>
      <c r="E20" s="6" t="s">
        <v>422</v>
      </c>
      <c r="F20" s="6" t="s">
        <v>423</v>
      </c>
      <c r="G20" s="6" t="s">
        <v>424</v>
      </c>
    </row>
    <row r="21" spans="1:8" ht="45" customHeight="1" x14ac:dyDescent="0.3">
      <c r="A21" s="6" t="s">
        <v>425</v>
      </c>
      <c r="B21" s="6" t="s">
        <v>426</v>
      </c>
      <c r="C21" s="6" t="s">
        <v>361</v>
      </c>
      <c r="D21" s="6" t="s">
        <v>427</v>
      </c>
      <c r="E21" s="6" t="s">
        <v>428</v>
      </c>
      <c r="F21" s="6" t="s">
        <v>429</v>
      </c>
      <c r="G21" s="6" t="s">
        <v>430</v>
      </c>
    </row>
    <row r="23" spans="1:8" ht="15.6" x14ac:dyDescent="0.3">
      <c r="A23" s="4" t="s">
        <v>431</v>
      </c>
    </row>
    <row r="24" spans="1:8" x14ac:dyDescent="0.3">
      <c r="A24" s="17" t="s">
        <v>432</v>
      </c>
      <c r="B24" s="17" t="s">
        <v>368</v>
      </c>
      <c r="C24" s="17" t="s">
        <v>433</v>
      </c>
      <c r="D24" s="17" t="s">
        <v>434</v>
      </c>
      <c r="E24" s="17" t="s">
        <v>435</v>
      </c>
      <c r="F24" s="17" t="s">
        <v>436</v>
      </c>
      <c r="G24" s="17" t="s">
        <v>437</v>
      </c>
      <c r="H24" s="17" t="s">
        <v>438</v>
      </c>
    </row>
    <row r="25" spans="1:8" ht="45" customHeight="1" x14ac:dyDescent="0.3">
      <c r="A25" s="6" t="s">
        <v>439</v>
      </c>
      <c r="B25" s="6" t="s">
        <v>375</v>
      </c>
      <c r="C25" s="6" t="s">
        <v>440</v>
      </c>
      <c r="D25" s="6" t="s">
        <v>441</v>
      </c>
      <c r="E25" s="6" t="s">
        <v>442</v>
      </c>
      <c r="F25" s="6" t="s">
        <v>443</v>
      </c>
      <c r="G25" s="6" t="s">
        <v>444</v>
      </c>
      <c r="H25" s="6" t="s">
        <v>445</v>
      </c>
    </row>
    <row r="26" spans="1:8" ht="45" customHeight="1" x14ac:dyDescent="0.3">
      <c r="A26" s="6" t="s">
        <v>446</v>
      </c>
      <c r="B26" s="6" t="s">
        <v>394</v>
      </c>
      <c r="C26" s="6" t="s">
        <v>101</v>
      </c>
      <c r="D26" s="6" t="s">
        <v>447</v>
      </c>
      <c r="E26" s="6" t="s">
        <v>448</v>
      </c>
      <c r="F26" s="6" t="s">
        <v>449</v>
      </c>
      <c r="G26" s="6" t="s">
        <v>450</v>
      </c>
      <c r="H26" s="6" t="s">
        <v>451</v>
      </c>
    </row>
    <row r="27" spans="1:8" ht="45" customHeight="1" x14ac:dyDescent="0.3">
      <c r="A27" s="6" t="s">
        <v>452</v>
      </c>
      <c r="B27" s="6" t="s">
        <v>394</v>
      </c>
      <c r="C27" s="6" t="s">
        <v>453</v>
      </c>
      <c r="D27" s="6" t="s">
        <v>454</v>
      </c>
      <c r="E27" s="6" t="s">
        <v>455</v>
      </c>
      <c r="F27" s="6" t="s">
        <v>456</v>
      </c>
      <c r="G27" s="6" t="s">
        <v>457</v>
      </c>
      <c r="H27" s="6" t="s">
        <v>458</v>
      </c>
    </row>
    <row r="28" spans="1:8" ht="45" customHeight="1" x14ac:dyDescent="0.3">
      <c r="A28" s="6" t="s">
        <v>459</v>
      </c>
      <c r="B28" s="6" t="s">
        <v>460</v>
      </c>
      <c r="C28" s="6" t="s">
        <v>461</v>
      </c>
      <c r="D28" s="6" t="s">
        <v>462</v>
      </c>
      <c r="E28" s="6" t="s">
        <v>463</v>
      </c>
      <c r="F28" s="6" t="s">
        <v>464</v>
      </c>
      <c r="G28" s="6" t="s">
        <v>465</v>
      </c>
      <c r="H28" s="6" t="s">
        <v>466</v>
      </c>
    </row>
    <row r="29" spans="1:8" ht="45" customHeight="1" x14ac:dyDescent="0.3">
      <c r="A29" s="6" t="s">
        <v>467</v>
      </c>
      <c r="B29" s="6" t="s">
        <v>413</v>
      </c>
      <c r="C29" s="6" t="s">
        <v>468</v>
      </c>
      <c r="D29" s="6" t="s">
        <v>469</v>
      </c>
      <c r="E29" s="6" t="s">
        <v>470</v>
      </c>
      <c r="F29" s="6" t="s">
        <v>471</v>
      </c>
      <c r="G29" s="6" t="s">
        <v>472</v>
      </c>
      <c r="H29" s="6" t="s">
        <v>473</v>
      </c>
    </row>
    <row r="30" spans="1:8" ht="45" customHeight="1" x14ac:dyDescent="0.3">
      <c r="A30" s="6" t="s">
        <v>474</v>
      </c>
      <c r="B30" s="6" t="s">
        <v>296</v>
      </c>
      <c r="C30" s="6" t="s">
        <v>475</v>
      </c>
      <c r="D30" s="6" t="s">
        <v>476</v>
      </c>
      <c r="E30" s="6" t="s">
        <v>477</v>
      </c>
      <c r="F30" s="6" t="s">
        <v>478</v>
      </c>
      <c r="G30" s="6" t="s">
        <v>479</v>
      </c>
      <c r="H30" s="6" t="s">
        <v>480</v>
      </c>
    </row>
    <row r="31" spans="1:8" x14ac:dyDescent="0.3">
      <c r="A31" s="16" t="s">
        <v>760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58A3"/>
  </sheetPr>
  <dimension ref="A1:J29"/>
  <sheetViews>
    <sheetView showGridLines="0" zoomScaleNormal="100" workbookViewId="0">
      <selection activeCell="D8" sqref="D8"/>
    </sheetView>
  </sheetViews>
  <sheetFormatPr defaultColWidth="8.6640625" defaultRowHeight="14.4" x14ac:dyDescent="0.3"/>
  <cols>
    <col min="1" max="1" width="8" customWidth="1"/>
    <col min="2" max="2" width="12" customWidth="1"/>
    <col min="3" max="3" width="11" customWidth="1"/>
    <col min="4" max="4" width="14" customWidth="1"/>
    <col min="5" max="5" width="15" customWidth="1"/>
    <col min="6" max="6" width="28" customWidth="1"/>
    <col min="7" max="7" width="22" customWidth="1"/>
    <col min="8" max="8" width="40" customWidth="1"/>
    <col min="9" max="9" width="100" customWidth="1"/>
    <col min="10" max="10" width="12" customWidth="1"/>
  </cols>
  <sheetData>
    <row r="1" spans="1:10" ht="21" x14ac:dyDescent="0.4">
      <c r="A1" s="15" t="s">
        <v>481</v>
      </c>
    </row>
    <row r="2" spans="1:10" x14ac:dyDescent="0.3">
      <c r="A2" s="16" t="s">
        <v>762</v>
      </c>
    </row>
    <row r="4" spans="1:10" ht="15.6" x14ac:dyDescent="0.3">
      <c r="A4" s="4" t="s">
        <v>482</v>
      </c>
    </row>
    <row r="5" spans="1:10" ht="39.6" x14ac:dyDescent="0.3">
      <c r="A5" s="17" t="s">
        <v>483</v>
      </c>
      <c r="B5" s="17" t="s">
        <v>484</v>
      </c>
      <c r="C5" s="17" t="s">
        <v>485</v>
      </c>
      <c r="D5" s="17" t="s">
        <v>486</v>
      </c>
    </row>
    <row r="6" spans="1:10" ht="79.2" x14ac:dyDescent="0.3">
      <c r="A6" s="6" t="s">
        <v>487</v>
      </c>
      <c r="B6" s="6" t="s">
        <v>488</v>
      </c>
      <c r="C6" s="6" t="s">
        <v>489</v>
      </c>
      <c r="D6" s="6" t="s">
        <v>490</v>
      </c>
    </row>
    <row r="7" spans="1:10" ht="118.8" x14ac:dyDescent="0.3">
      <c r="A7" s="6" t="s">
        <v>491</v>
      </c>
      <c r="B7" s="6" t="s">
        <v>492</v>
      </c>
      <c r="C7" s="6" t="s">
        <v>493</v>
      </c>
      <c r="D7" s="6" t="s">
        <v>494</v>
      </c>
    </row>
    <row r="8" spans="1:10" ht="79.2" x14ac:dyDescent="0.3">
      <c r="A8" s="6" t="s">
        <v>495</v>
      </c>
      <c r="B8" s="6" t="s">
        <v>496</v>
      </c>
      <c r="C8" s="6" t="s">
        <v>497</v>
      </c>
      <c r="D8" s="6" t="s">
        <v>763</v>
      </c>
    </row>
    <row r="9" spans="1:10" ht="79.2" x14ac:dyDescent="0.3">
      <c r="A9" s="6" t="s">
        <v>498</v>
      </c>
      <c r="B9" s="6" t="s">
        <v>499</v>
      </c>
      <c r="C9" s="6" t="s">
        <v>500</v>
      </c>
      <c r="D9" s="6" t="s">
        <v>501</v>
      </c>
    </row>
    <row r="10" spans="1:10" ht="66" x14ac:dyDescent="0.3">
      <c r="A10" s="6" t="s">
        <v>502</v>
      </c>
      <c r="B10" s="6" t="s">
        <v>503</v>
      </c>
      <c r="C10" s="6" t="s">
        <v>504</v>
      </c>
      <c r="D10" s="6" t="s">
        <v>505</v>
      </c>
    </row>
    <row r="12" spans="1:10" ht="15.6" x14ac:dyDescent="0.3">
      <c r="A12" s="4" t="s">
        <v>506</v>
      </c>
    </row>
    <row r="13" spans="1:10" ht="26.4" x14ac:dyDescent="0.3">
      <c r="A13" s="17" t="s">
        <v>220</v>
      </c>
      <c r="B13" s="17" t="s">
        <v>487</v>
      </c>
      <c r="C13" s="17" t="s">
        <v>491</v>
      </c>
      <c r="D13" s="17" t="s">
        <v>6</v>
      </c>
      <c r="E13" s="17" t="s">
        <v>507</v>
      </c>
      <c r="F13" s="17" t="s">
        <v>498</v>
      </c>
      <c r="G13" s="17" t="s">
        <v>502</v>
      </c>
      <c r="H13" s="17" t="s">
        <v>508</v>
      </c>
      <c r="I13" s="17" t="s">
        <v>509</v>
      </c>
      <c r="J13" s="17" t="s">
        <v>510</v>
      </c>
    </row>
    <row r="14" spans="1:10" ht="39.6" x14ac:dyDescent="0.3">
      <c r="A14" s="6" t="s">
        <v>241</v>
      </c>
      <c r="B14" s="12" t="s">
        <v>511</v>
      </c>
      <c r="C14" s="12" t="s">
        <v>512</v>
      </c>
      <c r="D14" s="12" t="s">
        <v>513</v>
      </c>
      <c r="E14" s="12" t="s">
        <v>514</v>
      </c>
      <c r="F14" s="12" t="s">
        <v>515</v>
      </c>
      <c r="G14" s="12"/>
      <c r="H14" s="6" t="str">
        <f>LOWER(SUBSTITUTE(TRIM(D14)&amp;"_"&amp;TRIM(E14)," ","_")&amp;"_"&amp;Inputs!$B$17&amp;"_"&amp;Inputs!$B$18)</f>
        <v>awareness_firsthome_nhsb_202611</v>
      </c>
      <c r="I14" s="6" t="str">
        <f>Inputs!$B$16&amp;IF(ISNUMBER(FIND("?",Inputs!$B$16)),"&amp;","?")&amp;"utm_source="&amp;LOWER(B14)&amp;"&amp;utm_medium="&amp;LOWER(C14)&amp;"&amp;utm_campaign="&amp;H14&amp;"&amp;utm_content="&amp;LOWER(SUBSTITUTE(F14," ","_"))&amp;IF(G14="","","&amp;utm_term="&amp;LOWER(SUBSTITUTE(G14," ","_")))</f>
        <v>https://new-home-starter-bundle.lovable.app/?utm_source=tiktok&amp;utm_medium=cpc&amp;utm_campaign=awareness_firsthome_nhsb_202611&amp;utm_content=spark_first_apartment_v1</v>
      </c>
      <c r="J14" s="6" t="str">
        <f t="shared" ref="J14:J22" si="0">IF(OR(B14="",C14="",D14="",E14="",F14=""),"MISSING",IF(OR(ISNUMBER(FIND(" ",I14)),EXACT(I14,LOWER(I14))=FALSE()),"FIX CASE/SPACE","OK"))</f>
        <v>OK</v>
      </c>
    </row>
    <row r="15" spans="1:10" ht="39.6" x14ac:dyDescent="0.3">
      <c r="A15" s="6" t="s">
        <v>250</v>
      </c>
      <c r="B15" s="12" t="s">
        <v>516</v>
      </c>
      <c r="C15" s="12" t="s">
        <v>512</v>
      </c>
      <c r="D15" s="12" t="s">
        <v>513</v>
      </c>
      <c r="E15" s="12" t="s">
        <v>517</v>
      </c>
      <c r="F15" s="12" t="s">
        <v>518</v>
      </c>
      <c r="G15" s="12"/>
      <c r="H15" s="6" t="str">
        <f>LOWER(SUBSTITUTE(TRIM(D15)&amp;"_"&amp;TRIM(E15)," ","_")&amp;"_"&amp;Inputs!$B$17&amp;"_"&amp;Inputs!$B$18)</f>
        <v>awareness_inmarkethome_nhsb_202611</v>
      </c>
      <c r="I15" s="6" t="str">
        <f>Inputs!$B$16&amp;IF(ISNUMBER(FIND("?",Inputs!$B$16)),"&amp;","?")&amp;"utm_source="&amp;LOWER(B15)&amp;"&amp;utm_medium="&amp;LOWER(C15)&amp;"&amp;utm_campaign="&amp;H15&amp;"&amp;utm_content="&amp;LOWER(SUBSTITUTE(F15," ","_"))&amp;IF(G15="","","&amp;utm_term="&amp;LOWER(SUBSTITUTE(G15," ","_")))</f>
        <v>https://new-home-starter-bundle.lovable.app/?utm_source=youtube&amp;utm_medium=cpc&amp;utm_campaign=awareness_inmarkethome_nhsb_202611&amp;utm_content=bumper_one_afternoon_v1</v>
      </c>
      <c r="J15" s="6" t="str">
        <f t="shared" si="0"/>
        <v>OK</v>
      </c>
    </row>
    <row r="16" spans="1:10" ht="39.6" x14ac:dyDescent="0.3">
      <c r="A16" s="6" t="s">
        <v>258</v>
      </c>
      <c r="B16" s="12" t="s">
        <v>519</v>
      </c>
      <c r="C16" s="12" t="s">
        <v>512</v>
      </c>
      <c r="D16" s="12" t="s">
        <v>520</v>
      </c>
      <c r="E16" s="12" t="s">
        <v>521</v>
      </c>
      <c r="F16" s="12" t="s">
        <v>522</v>
      </c>
      <c r="G16" s="12"/>
      <c r="H16" s="6" t="str">
        <f>LOWER(SUBSTITUTE(TRIM(D16)&amp;"_"&amp;TRIM(E16)," ","_")&amp;"_"&amp;Inputs!$B$17&amp;"_"&amp;Inputs!$B$18)</f>
        <v>consideration_young20to30_nhsb_202611</v>
      </c>
      <c r="I16" s="6" t="str">
        <f>Inputs!$B$16&amp;IF(ISNUMBER(FIND("?",Inputs!$B$16)),"&amp;","?")&amp;"utm_source="&amp;LOWER(B16)&amp;"&amp;utm_medium="&amp;LOWER(C16)&amp;"&amp;utm_campaign="&amp;H16&amp;"&amp;utm_content="&amp;LOWER(SUBSTITUTE(F16," ","_"))&amp;IF(G16="","","&amp;utm_term="&amp;LOWER(SUBSTITUTE(G16," ","_")))</f>
        <v>https://new-home-starter-bundle.lovable.app/?utm_source=snapchat&amp;utm_medium=cpc&amp;utm_campaign=consideration_young20to30_nhsb_202611&amp;utm_content=collection_bundle_v1</v>
      </c>
      <c r="J16" s="6" t="str">
        <f t="shared" si="0"/>
        <v>OK</v>
      </c>
    </row>
    <row r="17" spans="1:10" ht="39.6" x14ac:dyDescent="0.3">
      <c r="A17" s="6" t="s">
        <v>266</v>
      </c>
      <c r="B17" s="12" t="s">
        <v>523</v>
      </c>
      <c r="C17" s="12" t="s">
        <v>512</v>
      </c>
      <c r="D17" s="12" t="s">
        <v>520</v>
      </c>
      <c r="E17" s="12" t="s">
        <v>524</v>
      </c>
      <c r="F17" s="12" t="s">
        <v>525</v>
      </c>
      <c r="G17" s="12"/>
      <c r="H17" s="6" t="str">
        <f>LOWER(SUBSTITUTE(TRIM(D17)&amp;"_"&amp;TRIM(E17)," ","_")&amp;"_"&amp;Inputs!$B$17&amp;"_"&amp;Inputs!$B$18)</f>
        <v>consideration_warmpool_nhsb_202611</v>
      </c>
      <c r="I17" s="6" t="str">
        <f>Inputs!$B$16&amp;IF(ISNUMBER(FIND("?",Inputs!$B$16)),"&amp;","?")&amp;"utm_source="&amp;LOWER(B17)&amp;"&amp;utm_medium="&amp;LOWER(C17)&amp;"&amp;utm_campaign="&amp;H17&amp;"&amp;utm_content="&amp;LOWER(SUBSTITUTE(F17," ","_"))&amp;IF(G17="","","&amp;utm_term="&amp;LOWER(SUBSTITUTE(G17," ","_")))</f>
        <v>https://new-home-starter-bundle.lovable.app/?utm_source=meta&amp;utm_medium=cpc&amp;utm_campaign=consideration_warmpool_nhsb_202611&amp;utm_content=reel_delivery_promise_v1</v>
      </c>
      <c r="J17" s="6" t="str">
        <f t="shared" si="0"/>
        <v>OK</v>
      </c>
    </row>
    <row r="18" spans="1:10" ht="39.6" x14ac:dyDescent="0.3">
      <c r="A18" s="6" t="s">
        <v>275</v>
      </c>
      <c r="B18" s="12" t="s">
        <v>526</v>
      </c>
      <c r="C18" s="12" t="s">
        <v>512</v>
      </c>
      <c r="D18" s="12" t="s">
        <v>527</v>
      </c>
      <c r="E18" s="12" t="s">
        <v>528</v>
      </c>
      <c r="F18" s="12" t="s">
        <v>529</v>
      </c>
      <c r="G18" s="12" t="s">
        <v>530</v>
      </c>
      <c r="H18" s="6" t="str">
        <f>LOWER(SUBSTITUTE(TRIM(D18)&amp;"_"&amp;TRIM(E18)," ","_")&amp;"_"&amp;Inputs!$B$17&amp;"_"&amp;Inputs!$B$18)</f>
        <v>purchase_intent_nhsb_202611</v>
      </c>
      <c r="I18" s="6" t="str">
        <f>Inputs!$B$16&amp;IF(ISNUMBER(FIND("?",Inputs!$B$16)),"&amp;","?")&amp;"utm_source="&amp;LOWER(B18)&amp;"&amp;utm_medium="&amp;LOWER(C18)&amp;"&amp;utm_campaign="&amp;H18&amp;"&amp;utm_content="&amp;LOWER(SUBSTITUTE(F18," ","_"))&amp;IF(G18="","","&amp;utm_term="&amp;LOWER(SUBSTITUTE(G18," ","_")))</f>
        <v>https://new-home-starter-bundle.lovable.app/?utm_source=google&amp;utm_medium=cpc&amp;utm_campaign=purchase_intent_nhsb_202611&amp;utm_content=rsa_bundle_price_v1&amp;utm_term=furniture_new_cairo</v>
      </c>
      <c r="J18" s="6" t="str">
        <f t="shared" si="0"/>
        <v>OK</v>
      </c>
    </row>
    <row r="19" spans="1:10" ht="39.6" x14ac:dyDescent="0.3">
      <c r="A19" s="6" t="s">
        <v>282</v>
      </c>
      <c r="B19" s="12" t="s">
        <v>526</v>
      </c>
      <c r="C19" s="12" t="s">
        <v>512</v>
      </c>
      <c r="D19" s="12" t="s">
        <v>527</v>
      </c>
      <c r="E19" s="12" t="s">
        <v>531</v>
      </c>
      <c r="F19" s="12" t="s">
        <v>532</v>
      </c>
      <c r="G19" s="12"/>
      <c r="H19" s="6" t="str">
        <f>LOWER(SUBSTITUTE(TRIM(D19)&amp;"_"&amp;TRIM(E19)," ","_")&amp;"_"&amp;Inputs!$B$17&amp;"_"&amp;Inputs!$B$18)</f>
        <v>purchase_feed_nhsb_202611</v>
      </c>
      <c r="I19" s="6" t="str">
        <f>Inputs!$B$16&amp;IF(ISNUMBER(FIND("?",Inputs!$B$16)),"&amp;","?")&amp;"utm_source="&amp;LOWER(B19)&amp;"&amp;utm_medium="&amp;LOWER(C19)&amp;"&amp;utm_campaign="&amp;H19&amp;"&amp;utm_content="&amp;LOWER(SUBSTITUTE(F19," ","_"))&amp;IF(G19="","","&amp;utm_term="&amp;LOWER(SUBSTITUTE(G19," ","_")))</f>
        <v>https://new-home-starter-bundle.lovable.app/?utm_source=google&amp;utm_medium=cpc&amp;utm_campaign=purchase_feed_nhsb_202611&amp;utm_content=pmax_bedroom_v1</v>
      </c>
      <c r="J19" s="6" t="str">
        <f t="shared" si="0"/>
        <v>OK</v>
      </c>
    </row>
    <row r="20" spans="1:10" ht="39.6" x14ac:dyDescent="0.3">
      <c r="A20" s="6" t="s">
        <v>289</v>
      </c>
      <c r="B20" s="12" t="s">
        <v>523</v>
      </c>
      <c r="C20" s="12" t="s">
        <v>512</v>
      </c>
      <c r="D20" s="12" t="s">
        <v>527</v>
      </c>
      <c r="E20" s="12" t="s">
        <v>533</v>
      </c>
      <c r="F20" s="12" t="s">
        <v>534</v>
      </c>
      <c r="G20" s="12"/>
      <c r="H20" s="6" t="str">
        <f>LOWER(SUBSTITUTE(TRIM(D20)&amp;"_"&amp;TRIM(E20)," ","_")&amp;"_"&amp;Inputs!$B$17&amp;"_"&amp;Inputs!$B$18)</f>
        <v>purchase_carts14d_nhsb_202611</v>
      </c>
      <c r="I20" s="6" t="str">
        <f>Inputs!$B$16&amp;IF(ISNUMBER(FIND("?",Inputs!$B$16)),"&amp;","?")&amp;"utm_source="&amp;LOWER(B20)&amp;"&amp;utm_medium="&amp;LOWER(C20)&amp;"&amp;utm_campaign="&amp;H20&amp;"&amp;utm_content="&amp;LOWER(SUBSTITUTE(F20," ","_"))&amp;IF(G20="","","&amp;utm_term="&amp;LOWER(SUBSTITUTE(G20," ","_")))</f>
        <v>https://new-home-starter-bundle.lovable.app/?utm_source=meta&amp;utm_medium=cpc&amp;utm_campaign=purchase_carts14d_nhsb_202611&amp;utm_content=dpa_risk_free_v1</v>
      </c>
      <c r="J20" s="6" t="str">
        <f t="shared" si="0"/>
        <v>OK</v>
      </c>
    </row>
    <row r="21" spans="1:10" ht="39.6" x14ac:dyDescent="0.3">
      <c r="A21" s="6" t="s">
        <v>296</v>
      </c>
      <c r="B21" s="12" t="s">
        <v>535</v>
      </c>
      <c r="C21" s="12" t="s">
        <v>535</v>
      </c>
      <c r="D21" s="12" t="s">
        <v>536</v>
      </c>
      <c r="E21" s="12" t="s">
        <v>537</v>
      </c>
      <c r="F21" s="12" t="s">
        <v>538</v>
      </c>
      <c r="G21" s="12"/>
      <c r="H21" s="6" t="str">
        <f>LOWER(SUBSTITUTE(TRIM(D21)&amp;"_"&amp;TRIM(E21)," ","_")&amp;"_"&amp;Inputs!$B$17&amp;"_"&amp;Inputs!$B$18)</f>
        <v>retention_buyers_nhsb_202611</v>
      </c>
      <c r="I21" s="6" t="str">
        <f>Inputs!$B$16&amp;IF(ISNUMBER(FIND("?",Inputs!$B$16)),"&amp;","?")&amp;"utm_source="&amp;LOWER(B21)&amp;"&amp;utm_medium="&amp;LOWER(C21)&amp;"&amp;utm_campaign="&amp;H21&amp;"&amp;utm_content="&amp;LOWER(SUBSTITUTE(F21," ","_"))&amp;IF(G21="","","&amp;utm_term="&amp;LOWER(SUBSTITUTE(G21," ","_")))</f>
        <v>https://new-home-starter-bundle.lovable.app/?utm_source=whatsapp&amp;utm_medium=whatsapp&amp;utm_campaign=retention_buyers_nhsb_202611&amp;utm_content=flow_room2_v1</v>
      </c>
      <c r="J21" s="6" t="str">
        <f t="shared" si="0"/>
        <v>OK</v>
      </c>
    </row>
    <row r="22" spans="1:10" ht="39.6" x14ac:dyDescent="0.3">
      <c r="A22" s="6" t="s">
        <v>296</v>
      </c>
      <c r="B22" s="12" t="s">
        <v>539</v>
      </c>
      <c r="C22" s="12" t="s">
        <v>539</v>
      </c>
      <c r="D22" s="12" t="s">
        <v>540</v>
      </c>
      <c r="E22" s="12" t="s">
        <v>541</v>
      </c>
      <c r="F22" s="12" t="s">
        <v>542</v>
      </c>
      <c r="G22" s="12"/>
      <c r="H22" s="6" t="str">
        <f>LOWER(SUBSTITUTE(TRIM(D22)&amp;"_"&amp;TRIM(E22)," ","_")&amp;"_"&amp;Inputs!$B$17&amp;"_"&amp;Inputs!$B$18)</f>
        <v>recovery_cartabandon_nhsb_202611</v>
      </c>
      <c r="I22" s="6" t="str">
        <f>Inputs!$B$16&amp;IF(ISNUMBER(FIND("?",Inputs!$B$16)),"&amp;","?")&amp;"utm_source="&amp;LOWER(B22)&amp;"&amp;utm_medium="&amp;LOWER(C22)&amp;"&amp;utm_campaign="&amp;H22&amp;"&amp;utm_content="&amp;LOWER(SUBSTITUTE(F22," ","_"))&amp;IF(G22="","","&amp;utm_term="&amp;LOWER(SUBSTITUTE(G22," ","_")))</f>
        <v>https://new-home-starter-bundle.lovable.app/?utm_source=email&amp;utm_medium=email&amp;utm_campaign=recovery_cartabandon_nhsb_202611&amp;utm_content=flow_cart_v1</v>
      </c>
      <c r="J22" s="6" t="str">
        <f t="shared" si="0"/>
        <v>OK</v>
      </c>
    </row>
    <row r="23" spans="1:10" x14ac:dyDescent="0.3">
      <c r="A23" s="6"/>
      <c r="B23" s="6"/>
      <c r="C23" s="6"/>
      <c r="D23" s="6"/>
      <c r="E23" s="6"/>
      <c r="F23" s="6"/>
      <c r="G23" s="6"/>
      <c r="H23" s="6" t="str">
        <f>IF(D23="","",LOWER(SUBSTITUTE(TRIM(D23)&amp;"_"&amp;TRIM(E23)," ","_")&amp;"_"&amp;Inputs!$B$17&amp;"_"&amp;Inputs!$B$18))</f>
        <v/>
      </c>
      <c r="I23" s="6" t="str">
        <f>IF(B23="","",Inputs!$B$16&amp;IF(ISNUMBER(FIND("?",Inputs!$B$16)),"&amp;","?")&amp;"utm_source="&amp;LOWER(B23)&amp;"&amp;utm_medium="&amp;LOWER(C23)&amp;"&amp;utm_campaign="&amp;H23&amp;"&amp;utm_content="&amp;LOWER(SUBSTITUTE(F23," ","_"))&amp;IF(G23="","","&amp;utm_term="&amp;LOWER(SUBSTITUTE(G23," ","_"))))</f>
        <v/>
      </c>
      <c r="J23" s="6" t="str">
        <f t="shared" ref="J23:J28" si="1">IF(B23="","",IF(OR(C23="",D23="",E23="",F23=""),"MISSING",IF(OR(ISNUMBER(FIND(" ",I23)),EXACT(I23,LOWER(I23))=FALSE()),"FIX CASE/SPACE","OK")))</f>
        <v/>
      </c>
    </row>
    <row r="24" spans="1:10" x14ac:dyDescent="0.3">
      <c r="A24" s="6"/>
      <c r="B24" s="6"/>
      <c r="C24" s="6"/>
      <c r="D24" s="6"/>
      <c r="E24" s="6"/>
      <c r="F24" s="6"/>
      <c r="G24" s="6"/>
      <c r="H24" s="6" t="str">
        <f>IF(D24="","",LOWER(SUBSTITUTE(TRIM(D24)&amp;"_"&amp;TRIM(E24)," ","_")&amp;"_"&amp;Inputs!$B$17&amp;"_"&amp;Inputs!$B$18))</f>
        <v/>
      </c>
      <c r="I24" s="6" t="str">
        <f>IF(B24="","",Inputs!$B$16&amp;IF(ISNUMBER(FIND("?",Inputs!$B$16)),"&amp;","?")&amp;"utm_source="&amp;LOWER(B24)&amp;"&amp;utm_medium="&amp;LOWER(C24)&amp;"&amp;utm_campaign="&amp;H24&amp;"&amp;utm_content="&amp;LOWER(SUBSTITUTE(F24," ","_"))&amp;IF(G24="","","&amp;utm_term="&amp;LOWER(SUBSTITUTE(G24," ","_"))))</f>
        <v/>
      </c>
      <c r="J24" s="6" t="str">
        <f t="shared" si="1"/>
        <v/>
      </c>
    </row>
    <row r="25" spans="1:10" x14ac:dyDescent="0.3">
      <c r="A25" s="6"/>
      <c r="B25" s="6"/>
      <c r="C25" s="6"/>
      <c r="D25" s="6"/>
      <c r="E25" s="6"/>
      <c r="F25" s="6"/>
      <c r="G25" s="6"/>
      <c r="H25" s="6" t="str">
        <f>IF(D25="","",LOWER(SUBSTITUTE(TRIM(D25)&amp;"_"&amp;TRIM(E25)," ","_")&amp;"_"&amp;Inputs!$B$17&amp;"_"&amp;Inputs!$B$18))</f>
        <v/>
      </c>
      <c r="I25" s="6" t="str">
        <f>IF(B25="","",Inputs!$B$16&amp;IF(ISNUMBER(FIND("?",Inputs!$B$16)),"&amp;","?")&amp;"utm_source="&amp;LOWER(B25)&amp;"&amp;utm_medium="&amp;LOWER(C25)&amp;"&amp;utm_campaign="&amp;H25&amp;"&amp;utm_content="&amp;LOWER(SUBSTITUTE(F25," ","_"))&amp;IF(G25="","","&amp;utm_term="&amp;LOWER(SUBSTITUTE(G25," ","_"))))</f>
        <v/>
      </c>
      <c r="J25" s="6" t="str">
        <f t="shared" si="1"/>
        <v/>
      </c>
    </row>
    <row r="26" spans="1:10" x14ac:dyDescent="0.3">
      <c r="A26" s="6"/>
      <c r="B26" s="6"/>
      <c r="C26" s="6"/>
      <c r="D26" s="6"/>
      <c r="E26" s="6"/>
      <c r="F26" s="6"/>
      <c r="G26" s="6"/>
      <c r="H26" s="6" t="str">
        <f>IF(D26="","",LOWER(SUBSTITUTE(TRIM(D26)&amp;"_"&amp;TRIM(E26)," ","_")&amp;"_"&amp;Inputs!$B$17&amp;"_"&amp;Inputs!$B$18))</f>
        <v/>
      </c>
      <c r="I26" s="6" t="str">
        <f>IF(B26="","",Inputs!$B$16&amp;IF(ISNUMBER(FIND("?",Inputs!$B$16)),"&amp;","?")&amp;"utm_source="&amp;LOWER(B26)&amp;"&amp;utm_medium="&amp;LOWER(C26)&amp;"&amp;utm_campaign="&amp;H26&amp;"&amp;utm_content="&amp;LOWER(SUBSTITUTE(F26," ","_"))&amp;IF(G26="","","&amp;utm_term="&amp;LOWER(SUBSTITUTE(G26," ","_"))))</f>
        <v/>
      </c>
      <c r="J26" s="6" t="str">
        <f t="shared" si="1"/>
        <v/>
      </c>
    </row>
    <row r="27" spans="1:10" x14ac:dyDescent="0.3">
      <c r="A27" s="6"/>
      <c r="B27" s="6"/>
      <c r="C27" s="6"/>
      <c r="D27" s="6"/>
      <c r="E27" s="6"/>
      <c r="F27" s="6"/>
      <c r="G27" s="6"/>
      <c r="H27" s="6" t="str">
        <f>IF(D27="","",LOWER(SUBSTITUTE(TRIM(D27)&amp;"_"&amp;TRIM(E27)," ","_")&amp;"_"&amp;Inputs!$B$17&amp;"_"&amp;Inputs!$B$18))</f>
        <v/>
      </c>
      <c r="I27" s="6" t="str">
        <f>IF(B27="","",Inputs!$B$16&amp;IF(ISNUMBER(FIND("?",Inputs!$B$16)),"&amp;","?")&amp;"utm_source="&amp;LOWER(B27)&amp;"&amp;utm_medium="&amp;LOWER(C27)&amp;"&amp;utm_campaign="&amp;H27&amp;"&amp;utm_content="&amp;LOWER(SUBSTITUTE(F27," ","_"))&amp;IF(G27="","","&amp;utm_term="&amp;LOWER(SUBSTITUTE(G27," ","_"))))</f>
        <v/>
      </c>
      <c r="J27" s="6" t="str">
        <f t="shared" si="1"/>
        <v/>
      </c>
    </row>
    <row r="28" spans="1:10" x14ac:dyDescent="0.3">
      <c r="A28" s="6"/>
      <c r="B28" s="6"/>
      <c r="C28" s="6"/>
      <c r="D28" s="6"/>
      <c r="E28" s="6"/>
      <c r="F28" s="6"/>
      <c r="G28" s="6"/>
      <c r="H28" s="6" t="str">
        <f>IF(D28="","",LOWER(SUBSTITUTE(TRIM(D28)&amp;"_"&amp;TRIM(E28)," ","_")&amp;"_"&amp;Inputs!$B$17&amp;"_"&amp;Inputs!$B$18))</f>
        <v/>
      </c>
      <c r="I28" s="6" t="str">
        <f>IF(B28="","",Inputs!$B$16&amp;IF(ISNUMBER(FIND("?",Inputs!$B$16)),"&amp;","?")&amp;"utm_source="&amp;LOWER(B28)&amp;"&amp;utm_medium="&amp;LOWER(C28)&amp;"&amp;utm_campaign="&amp;H28&amp;"&amp;utm_content="&amp;LOWER(SUBSTITUTE(F28," ","_"))&amp;IF(G28="","","&amp;utm_term="&amp;LOWER(SUBSTITUTE(G28," ","_"))))</f>
        <v/>
      </c>
      <c r="J28" s="6" t="str">
        <f t="shared" si="1"/>
        <v/>
      </c>
    </row>
    <row r="29" spans="1:10" x14ac:dyDescent="0.3">
      <c r="A29" s="16" t="s">
        <v>543</v>
      </c>
    </row>
  </sheetData>
  <conditionalFormatting sqref="J14:J28">
    <cfRule type="cellIs" dxfId="8" priority="2" operator="equal">
      <formula>"OK"</formula>
    </cfRule>
    <cfRule type="cellIs" dxfId="7" priority="3" operator="notEqual">
      <formula>"OK"</formula>
    </cfRule>
  </conditionalFormatting>
  <dataValidations count="3">
    <dataValidation type="list" allowBlank="1" sqref="B14:B28" xr:uid="{00000000-0002-0000-0700-000000000000}">
      <formula1>"meta,tiktok,google,youtube,snapchat,email,whatsapp"</formula1>
      <formula2>0</formula2>
    </dataValidation>
    <dataValidation type="list" allowBlank="1" sqref="C14:C28" xr:uid="{00000000-0002-0000-0700-000001000000}">
      <formula1>"cpc,email,whatsapp,social"</formula1>
      <formula2>0</formula2>
    </dataValidation>
    <dataValidation type="list" allowBlank="1" sqref="D14:D28" xr:uid="{00000000-0002-0000-0700-000002000000}">
      <formula1>"awareness,consideration,purchase,retention,recovery"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58A3"/>
  </sheetPr>
  <dimension ref="A1:I19"/>
  <sheetViews>
    <sheetView showGridLines="0" zoomScaleNormal="100" workbookViewId="0">
      <selection activeCell="C7" sqref="C7"/>
    </sheetView>
  </sheetViews>
  <sheetFormatPr defaultColWidth="8.6640625" defaultRowHeight="14.4" x14ac:dyDescent="0.3"/>
  <cols>
    <col min="1" max="2" width="16" customWidth="1"/>
    <col min="3" max="3" width="30" customWidth="1"/>
    <col min="4" max="4" width="26" customWidth="1"/>
    <col min="5" max="5" width="22" customWidth="1"/>
    <col min="6" max="7" width="16" customWidth="1"/>
    <col min="8" max="8" width="20" customWidth="1"/>
    <col min="9" max="9" width="30" customWidth="1"/>
  </cols>
  <sheetData>
    <row r="1" spans="1:9" ht="21" x14ac:dyDescent="0.4">
      <c r="A1" s="15" t="s">
        <v>544</v>
      </c>
    </row>
    <row r="2" spans="1:9" x14ac:dyDescent="0.3">
      <c r="A2" s="16" t="s">
        <v>545</v>
      </c>
    </row>
    <row r="4" spans="1:9" ht="26.4" x14ac:dyDescent="0.3">
      <c r="A4" s="17" t="s">
        <v>546</v>
      </c>
      <c r="B4" s="17" t="s">
        <v>547</v>
      </c>
      <c r="C4" s="17" t="s">
        <v>548</v>
      </c>
      <c r="D4" s="17" t="s">
        <v>549</v>
      </c>
      <c r="E4" s="17" t="s">
        <v>550</v>
      </c>
      <c r="F4" s="17" t="s">
        <v>551</v>
      </c>
      <c r="G4" s="17" t="s">
        <v>552</v>
      </c>
      <c r="H4" s="17" t="s">
        <v>553</v>
      </c>
      <c r="I4" s="17" t="s">
        <v>554</v>
      </c>
    </row>
    <row r="5" spans="1:9" x14ac:dyDescent="0.3">
      <c r="A5" s="6" t="s">
        <v>555</v>
      </c>
      <c r="B5" s="6" t="s">
        <v>556</v>
      </c>
      <c r="C5" s="6" t="s">
        <v>557</v>
      </c>
      <c r="D5" s="6" t="s">
        <v>558</v>
      </c>
      <c r="E5" s="6" t="s">
        <v>559</v>
      </c>
      <c r="F5" s="6" t="s">
        <v>560</v>
      </c>
      <c r="G5" s="6" t="s">
        <v>561</v>
      </c>
      <c r="H5" s="6" t="s">
        <v>562</v>
      </c>
      <c r="I5" s="6" t="s">
        <v>563</v>
      </c>
    </row>
    <row r="6" spans="1:9" x14ac:dyDescent="0.3">
      <c r="A6" s="6" t="s">
        <v>564</v>
      </c>
      <c r="B6" s="6" t="s">
        <v>565</v>
      </c>
      <c r="C6" s="6" t="s">
        <v>566</v>
      </c>
      <c r="D6" s="6" t="s">
        <v>567</v>
      </c>
      <c r="E6" s="6" t="s">
        <v>568</v>
      </c>
      <c r="F6" s="6" t="s">
        <v>568</v>
      </c>
      <c r="G6" s="6" t="s">
        <v>569</v>
      </c>
      <c r="H6" s="6" t="s">
        <v>562</v>
      </c>
      <c r="I6" s="6" t="s">
        <v>570</v>
      </c>
    </row>
    <row r="7" spans="1:9" x14ac:dyDescent="0.3">
      <c r="A7" s="6" t="s">
        <v>571</v>
      </c>
      <c r="B7" s="6" t="s">
        <v>572</v>
      </c>
      <c r="C7" s="6" t="s">
        <v>573</v>
      </c>
      <c r="D7" s="6" t="s">
        <v>574</v>
      </c>
      <c r="E7" s="6" t="s">
        <v>575</v>
      </c>
      <c r="F7" s="6" t="s">
        <v>576</v>
      </c>
      <c r="G7" s="6" t="s">
        <v>577</v>
      </c>
      <c r="H7" s="6" t="s">
        <v>578</v>
      </c>
      <c r="I7" s="6" t="s">
        <v>579</v>
      </c>
    </row>
    <row r="8" spans="1:9" x14ac:dyDescent="0.3">
      <c r="A8" s="6" t="s">
        <v>580</v>
      </c>
      <c r="B8" s="6" t="s">
        <v>581</v>
      </c>
      <c r="C8" s="6" t="s">
        <v>582</v>
      </c>
      <c r="D8" s="6" t="s">
        <v>583</v>
      </c>
      <c r="E8" s="6" t="s">
        <v>584</v>
      </c>
      <c r="F8" s="6" t="s">
        <v>584</v>
      </c>
      <c r="G8" s="6" t="s">
        <v>585</v>
      </c>
      <c r="H8" s="6" t="s">
        <v>562</v>
      </c>
      <c r="I8" s="6" t="s">
        <v>586</v>
      </c>
    </row>
    <row r="9" spans="1:9" ht="26.4" x14ac:dyDescent="0.3">
      <c r="A9" s="6" t="s">
        <v>587</v>
      </c>
      <c r="B9" s="6" t="s">
        <v>588</v>
      </c>
      <c r="C9" s="6" t="s">
        <v>589</v>
      </c>
      <c r="D9" s="6" t="s">
        <v>590</v>
      </c>
      <c r="E9" s="6" t="s">
        <v>591</v>
      </c>
      <c r="F9" s="6" t="s">
        <v>591</v>
      </c>
      <c r="G9" s="6" t="s">
        <v>592</v>
      </c>
      <c r="H9" s="6" t="s">
        <v>562</v>
      </c>
      <c r="I9" s="6" t="s">
        <v>593</v>
      </c>
    </row>
    <row r="10" spans="1:9" ht="26.4" x14ac:dyDescent="0.3">
      <c r="A10" s="6" t="s">
        <v>211</v>
      </c>
      <c r="B10" s="6" t="s">
        <v>527</v>
      </c>
      <c r="C10" s="6" t="s">
        <v>594</v>
      </c>
      <c r="D10" s="6" t="s">
        <v>595</v>
      </c>
      <c r="E10" s="6" t="s">
        <v>596</v>
      </c>
      <c r="F10" s="6" t="s">
        <v>597</v>
      </c>
      <c r="G10" s="6" t="s">
        <v>598</v>
      </c>
      <c r="H10" s="6" t="s">
        <v>599</v>
      </c>
      <c r="I10" s="6" t="s">
        <v>600</v>
      </c>
    </row>
    <row r="12" spans="1:9" ht="15.6" x14ac:dyDescent="0.3">
      <c r="A12" s="4" t="s">
        <v>601</v>
      </c>
    </row>
    <row r="13" spans="1:9" x14ac:dyDescent="0.3">
      <c r="A13" s="48" t="s">
        <v>602</v>
      </c>
      <c r="B13" s="48" t="s">
        <v>603</v>
      </c>
    </row>
    <row r="14" spans="1:9" x14ac:dyDescent="0.3">
      <c r="A14" s="48" t="s">
        <v>602</v>
      </c>
      <c r="B14" s="48" t="s">
        <v>604</v>
      </c>
    </row>
    <row r="15" spans="1:9" x14ac:dyDescent="0.3">
      <c r="A15" s="48" t="s">
        <v>602</v>
      </c>
      <c r="B15" s="48" t="s">
        <v>605</v>
      </c>
    </row>
    <row r="16" spans="1:9" x14ac:dyDescent="0.3">
      <c r="A16" s="48" t="s">
        <v>602</v>
      </c>
      <c r="B16" s="48" t="s">
        <v>606</v>
      </c>
    </row>
    <row r="17" spans="1:2" x14ac:dyDescent="0.3">
      <c r="A17" s="48" t="s">
        <v>602</v>
      </c>
      <c r="B17" s="48" t="s">
        <v>607</v>
      </c>
    </row>
    <row r="18" spans="1:2" x14ac:dyDescent="0.3">
      <c r="A18" s="48" t="s">
        <v>602</v>
      </c>
      <c r="B18" s="48" t="s">
        <v>608</v>
      </c>
    </row>
    <row r="19" spans="1:2" x14ac:dyDescent="0.3">
      <c r="A19" s="48" t="s">
        <v>602</v>
      </c>
      <c r="B19" s="48" t="s">
        <v>609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58A3"/>
  </sheetPr>
  <dimension ref="A1:AC36"/>
  <sheetViews>
    <sheetView showGridLines="0" topLeftCell="A2" zoomScaleNormal="100" workbookViewId="0">
      <selection activeCell="A35" sqref="A35"/>
    </sheetView>
  </sheetViews>
  <sheetFormatPr defaultColWidth="8.6640625" defaultRowHeight="14.4" x14ac:dyDescent="0.3"/>
  <cols>
    <col min="1" max="1" width="24" customWidth="1"/>
    <col min="2" max="5" width="16" customWidth="1"/>
    <col min="6" max="7" width="18" customWidth="1"/>
    <col min="8" max="8" width="14" customWidth="1"/>
    <col min="9" max="9" width="4" customWidth="1"/>
    <col min="10" max="29" width="7" customWidth="1"/>
  </cols>
  <sheetData>
    <row r="1" spans="1:29" ht="21" x14ac:dyDescent="0.4">
      <c r="A1" s="15" t="s">
        <v>610</v>
      </c>
    </row>
    <row r="2" spans="1:29" x14ac:dyDescent="0.3">
      <c r="A2" s="16" t="s">
        <v>611</v>
      </c>
      <c r="J2" s="16" t="s">
        <v>612</v>
      </c>
    </row>
    <row r="3" spans="1:29" ht="40.799999999999997" x14ac:dyDescent="0.3">
      <c r="J3" s="54" t="s">
        <v>613</v>
      </c>
      <c r="K3" s="54" t="s">
        <v>614</v>
      </c>
      <c r="L3" s="54" t="s">
        <v>615</v>
      </c>
      <c r="M3" s="54" t="s">
        <v>616</v>
      </c>
      <c r="N3" s="54" t="s">
        <v>617</v>
      </c>
      <c r="O3" s="54" t="s">
        <v>618</v>
      </c>
      <c r="P3" s="54" t="s">
        <v>619</v>
      </c>
      <c r="Q3" s="54" t="s">
        <v>620</v>
      </c>
      <c r="R3" s="54" t="s">
        <v>621</v>
      </c>
      <c r="S3" s="54" t="s">
        <v>622</v>
      </c>
      <c r="T3" s="54" t="s">
        <v>623</v>
      </c>
      <c r="U3" s="54" t="s">
        <v>624</v>
      </c>
      <c r="V3" s="54" t="s">
        <v>625</v>
      </c>
      <c r="W3" s="54" t="s">
        <v>626</v>
      </c>
      <c r="X3" s="54" t="s">
        <v>627</v>
      </c>
      <c r="Y3" s="54" t="s">
        <v>628</v>
      </c>
      <c r="Z3" s="54" t="s">
        <v>629</v>
      </c>
      <c r="AA3" s="54" t="s">
        <v>630</v>
      </c>
      <c r="AB3" s="54" t="s">
        <v>631</v>
      </c>
      <c r="AC3" s="54" t="s">
        <v>632</v>
      </c>
    </row>
    <row r="4" spans="1:29" x14ac:dyDescent="0.3">
      <c r="A4" s="17" t="s">
        <v>633</v>
      </c>
      <c r="B4" s="17" t="s">
        <v>634</v>
      </c>
      <c r="C4" s="17" t="s">
        <v>635</v>
      </c>
      <c r="D4" s="17" t="s">
        <v>636</v>
      </c>
      <c r="E4" s="17" t="s">
        <v>637</v>
      </c>
      <c r="F4" s="17" t="s">
        <v>638</v>
      </c>
      <c r="G4" s="17" t="s">
        <v>639</v>
      </c>
    </row>
    <row r="5" spans="1:29" x14ac:dyDescent="0.3">
      <c r="A5" s="6">
        <v>1</v>
      </c>
      <c r="B5" s="12" t="s">
        <v>242</v>
      </c>
      <c r="C5" s="12" t="s">
        <v>268</v>
      </c>
      <c r="D5" s="12" t="s">
        <v>276</v>
      </c>
      <c r="E5" s="6"/>
      <c r="F5" s="55">
        <v>4800</v>
      </c>
      <c r="G5" s="6">
        <f t="shared" ref="G5:G16" si="0">COUNTA(B5:E5)</f>
        <v>3</v>
      </c>
      <c r="J5" s="56">
        <f t="shared" ref="J5:J16" si="1">IF(1=$G5,1,0)</f>
        <v>0</v>
      </c>
      <c r="K5" s="56">
        <f t="shared" ref="K5:K16" si="2">IF(2=$G5,1,0)</f>
        <v>0</v>
      </c>
      <c r="L5" s="56">
        <f t="shared" ref="L5:L16" si="3">IF(3=$G5,1,0)</f>
        <v>1</v>
      </c>
      <c r="M5" s="56">
        <f t="shared" ref="M5:M16" si="4">IF(4=$G5,1,0)</f>
        <v>0</v>
      </c>
      <c r="N5" s="56">
        <f t="shared" ref="N5:N16" si="5">IF(AND(1=1,$G5&gt;=1),1,0)</f>
        <v>1</v>
      </c>
      <c r="O5" s="56">
        <f t="shared" ref="O5:O16" si="6">IF(AND(2=1,$G5&gt;=1),1,0)</f>
        <v>0</v>
      </c>
      <c r="P5" s="56">
        <f t="shared" ref="P5:P16" si="7">IF(AND(3=1,$G5&gt;=1),1,0)</f>
        <v>0</v>
      </c>
      <c r="Q5" s="56">
        <f t="shared" ref="Q5:Q16" si="8">IF(AND(4=1,$G5&gt;=1),1,0)</f>
        <v>0</v>
      </c>
      <c r="R5" s="56">
        <f t="shared" ref="R5:R16" si="9">IF(1&lt;=$G5,1/$G5,0)</f>
        <v>0.33333333333333331</v>
      </c>
      <c r="S5" s="56">
        <f t="shared" ref="S5:S16" si="10">IF(2&lt;=$G5,1/$G5,0)</f>
        <v>0.33333333333333331</v>
      </c>
      <c r="T5" s="56">
        <f t="shared" ref="T5:T16" si="11">IF(3&lt;=$G5,1/$G5,0)</f>
        <v>0.33333333333333331</v>
      </c>
      <c r="U5" s="56">
        <f t="shared" ref="U5:U16" si="12">IF(4&lt;=$G5,1/$G5,0)</f>
        <v>0</v>
      </c>
      <c r="V5" s="56">
        <f t="shared" ref="V5:V16" si="13">IF(1&lt;=$G5,2^(1-1)/(2^$G5-1),0)</f>
        <v>0.14285714285714285</v>
      </c>
      <c r="W5" s="56">
        <f t="shared" ref="W5:W16" si="14">IF(2&lt;=$G5,2^(2-1)/(2^$G5-1),0)</f>
        <v>0.2857142857142857</v>
      </c>
      <c r="X5" s="56">
        <f t="shared" ref="X5:X16" si="15">IF(3&lt;=$G5,2^(3-1)/(2^$G5-1),0)</f>
        <v>0.5714285714285714</v>
      </c>
      <c r="Y5" s="56">
        <f t="shared" ref="Y5:Y16" si="16">IF(4&lt;=$G5,2^(4-1)/(2^$G5-1),0)</f>
        <v>0</v>
      </c>
      <c r="Z5" s="56">
        <f t="shared" ref="Z5:Z16" si="17">IF(1&gt;$G5,0,IF($G5=1,1,IF($G5=2,0.5,IF(OR(1=1,1=$G5),0.4,0.2/($G5-2)))))</f>
        <v>0.4</v>
      </c>
      <c r="AA5" s="56">
        <f t="shared" ref="AA5:AA16" si="18">IF(2&gt;$G5,0,IF($G5=1,1,IF($G5=2,0.5,IF(OR(2=1,2=$G5),0.4,0.2/($G5-2)))))</f>
        <v>0.2</v>
      </c>
      <c r="AB5" s="56">
        <f t="shared" ref="AB5:AB16" si="19">IF(3&gt;$G5,0,IF($G5=1,1,IF($G5=2,0.5,IF(OR(3=1,3=$G5),0.4,0.2/($G5-2)))))</f>
        <v>0.4</v>
      </c>
      <c r="AC5" s="56">
        <f t="shared" ref="AC5:AC16" si="20">IF(4&gt;$G5,0,IF($G5=1,1,IF($G5=2,0.5,IF(OR(4=1,4=$G5),0.4,0.2/($G5-2)))))</f>
        <v>0</v>
      </c>
    </row>
    <row r="6" spans="1:29" x14ac:dyDescent="0.3">
      <c r="A6" s="6">
        <v>2</v>
      </c>
      <c r="B6" s="12" t="s">
        <v>242</v>
      </c>
      <c r="C6" s="12" t="s">
        <v>290</v>
      </c>
      <c r="D6" s="6"/>
      <c r="E6" s="6"/>
      <c r="F6" s="55">
        <v>4200</v>
      </c>
      <c r="G6" s="6">
        <f t="shared" si="0"/>
        <v>2</v>
      </c>
      <c r="J6" s="56">
        <f t="shared" si="1"/>
        <v>0</v>
      </c>
      <c r="K6" s="56">
        <f t="shared" si="2"/>
        <v>1</v>
      </c>
      <c r="L6" s="56">
        <f t="shared" si="3"/>
        <v>0</v>
      </c>
      <c r="M6" s="56">
        <f t="shared" si="4"/>
        <v>0</v>
      </c>
      <c r="N6" s="56">
        <f t="shared" si="5"/>
        <v>1</v>
      </c>
      <c r="O6" s="56">
        <f t="shared" si="6"/>
        <v>0</v>
      </c>
      <c r="P6" s="56">
        <f t="shared" si="7"/>
        <v>0</v>
      </c>
      <c r="Q6" s="56">
        <f t="shared" si="8"/>
        <v>0</v>
      </c>
      <c r="R6" s="56">
        <f t="shared" si="9"/>
        <v>0.5</v>
      </c>
      <c r="S6" s="56">
        <f t="shared" si="10"/>
        <v>0.5</v>
      </c>
      <c r="T6" s="56">
        <f t="shared" si="11"/>
        <v>0</v>
      </c>
      <c r="U6" s="56">
        <f t="shared" si="12"/>
        <v>0</v>
      </c>
      <c r="V6" s="56">
        <f t="shared" si="13"/>
        <v>0.33333333333333331</v>
      </c>
      <c r="W6" s="56">
        <f t="shared" si="14"/>
        <v>0.66666666666666663</v>
      </c>
      <c r="X6" s="56">
        <f t="shared" si="15"/>
        <v>0</v>
      </c>
      <c r="Y6" s="56">
        <f t="shared" si="16"/>
        <v>0</v>
      </c>
      <c r="Z6" s="56">
        <f t="shared" si="17"/>
        <v>0.5</v>
      </c>
      <c r="AA6" s="56">
        <f t="shared" si="18"/>
        <v>0.5</v>
      </c>
      <c r="AB6" s="56">
        <f t="shared" si="19"/>
        <v>0</v>
      </c>
      <c r="AC6" s="56">
        <f t="shared" si="20"/>
        <v>0</v>
      </c>
    </row>
    <row r="7" spans="1:29" x14ac:dyDescent="0.3">
      <c r="A7" s="6">
        <v>3</v>
      </c>
      <c r="B7" s="12" t="s">
        <v>276</v>
      </c>
      <c r="C7" s="6"/>
      <c r="D7" s="6"/>
      <c r="E7" s="6"/>
      <c r="F7" s="55">
        <v>3900</v>
      </c>
      <c r="G7" s="6">
        <f t="shared" si="0"/>
        <v>1</v>
      </c>
      <c r="J7" s="56">
        <f t="shared" si="1"/>
        <v>1</v>
      </c>
      <c r="K7" s="56">
        <f t="shared" si="2"/>
        <v>0</v>
      </c>
      <c r="L7" s="56">
        <f t="shared" si="3"/>
        <v>0</v>
      </c>
      <c r="M7" s="56">
        <f t="shared" si="4"/>
        <v>0</v>
      </c>
      <c r="N7" s="56">
        <f t="shared" si="5"/>
        <v>1</v>
      </c>
      <c r="O7" s="56">
        <f t="shared" si="6"/>
        <v>0</v>
      </c>
      <c r="P7" s="56">
        <f t="shared" si="7"/>
        <v>0</v>
      </c>
      <c r="Q7" s="56">
        <f t="shared" si="8"/>
        <v>0</v>
      </c>
      <c r="R7" s="56">
        <f t="shared" si="9"/>
        <v>1</v>
      </c>
      <c r="S7" s="56">
        <f t="shared" si="10"/>
        <v>0</v>
      </c>
      <c r="T7" s="56">
        <f t="shared" si="11"/>
        <v>0</v>
      </c>
      <c r="U7" s="56">
        <f t="shared" si="12"/>
        <v>0</v>
      </c>
      <c r="V7" s="56">
        <f t="shared" si="13"/>
        <v>1</v>
      </c>
      <c r="W7" s="56">
        <f t="shared" si="14"/>
        <v>0</v>
      </c>
      <c r="X7" s="56">
        <f t="shared" si="15"/>
        <v>0</v>
      </c>
      <c r="Y7" s="56">
        <f t="shared" si="16"/>
        <v>0</v>
      </c>
      <c r="Z7" s="56">
        <f t="shared" si="17"/>
        <v>1</v>
      </c>
      <c r="AA7" s="56">
        <f t="shared" si="18"/>
        <v>0</v>
      </c>
      <c r="AB7" s="56">
        <f t="shared" si="19"/>
        <v>0</v>
      </c>
      <c r="AC7" s="56">
        <f t="shared" si="20"/>
        <v>0</v>
      </c>
    </row>
    <row r="8" spans="1:29" x14ac:dyDescent="0.3">
      <c r="A8" s="6">
        <v>4</v>
      </c>
      <c r="B8" s="12" t="s">
        <v>242</v>
      </c>
      <c r="C8" s="12" t="s">
        <v>276</v>
      </c>
      <c r="D8" s="12" t="s">
        <v>297</v>
      </c>
      <c r="E8" s="6"/>
      <c r="F8" s="55">
        <v>5600</v>
      </c>
      <c r="G8" s="6">
        <f t="shared" si="0"/>
        <v>3</v>
      </c>
      <c r="J8" s="56">
        <f t="shared" si="1"/>
        <v>0</v>
      </c>
      <c r="K8" s="56">
        <f t="shared" si="2"/>
        <v>0</v>
      </c>
      <c r="L8" s="56">
        <f t="shared" si="3"/>
        <v>1</v>
      </c>
      <c r="M8" s="56">
        <f t="shared" si="4"/>
        <v>0</v>
      </c>
      <c r="N8" s="56">
        <f t="shared" si="5"/>
        <v>1</v>
      </c>
      <c r="O8" s="56">
        <f t="shared" si="6"/>
        <v>0</v>
      </c>
      <c r="P8" s="56">
        <f t="shared" si="7"/>
        <v>0</v>
      </c>
      <c r="Q8" s="56">
        <f t="shared" si="8"/>
        <v>0</v>
      </c>
      <c r="R8" s="56">
        <f t="shared" si="9"/>
        <v>0.33333333333333331</v>
      </c>
      <c r="S8" s="56">
        <f t="shared" si="10"/>
        <v>0.33333333333333331</v>
      </c>
      <c r="T8" s="56">
        <f t="shared" si="11"/>
        <v>0.33333333333333331</v>
      </c>
      <c r="U8" s="56">
        <f t="shared" si="12"/>
        <v>0</v>
      </c>
      <c r="V8" s="56">
        <f t="shared" si="13"/>
        <v>0.14285714285714285</v>
      </c>
      <c r="W8" s="56">
        <f t="shared" si="14"/>
        <v>0.2857142857142857</v>
      </c>
      <c r="X8" s="56">
        <f t="shared" si="15"/>
        <v>0.5714285714285714</v>
      </c>
      <c r="Y8" s="56">
        <f t="shared" si="16"/>
        <v>0</v>
      </c>
      <c r="Z8" s="56">
        <f t="shared" si="17"/>
        <v>0.4</v>
      </c>
      <c r="AA8" s="56">
        <f t="shared" si="18"/>
        <v>0.2</v>
      </c>
      <c r="AB8" s="56">
        <f t="shared" si="19"/>
        <v>0.4</v>
      </c>
      <c r="AC8" s="56">
        <f t="shared" si="20"/>
        <v>0</v>
      </c>
    </row>
    <row r="9" spans="1:29" x14ac:dyDescent="0.3">
      <c r="A9" s="6">
        <v>5</v>
      </c>
      <c r="B9" s="12" t="s">
        <v>268</v>
      </c>
      <c r="C9" s="12" t="s">
        <v>290</v>
      </c>
      <c r="D9" s="12" t="s">
        <v>276</v>
      </c>
      <c r="E9" s="6"/>
      <c r="F9" s="55">
        <v>4500</v>
      </c>
      <c r="G9" s="6">
        <f t="shared" si="0"/>
        <v>3</v>
      </c>
      <c r="J9" s="56">
        <f t="shared" si="1"/>
        <v>0</v>
      </c>
      <c r="K9" s="56">
        <f t="shared" si="2"/>
        <v>0</v>
      </c>
      <c r="L9" s="56">
        <f t="shared" si="3"/>
        <v>1</v>
      </c>
      <c r="M9" s="56">
        <f t="shared" si="4"/>
        <v>0</v>
      </c>
      <c r="N9" s="56">
        <f t="shared" si="5"/>
        <v>1</v>
      </c>
      <c r="O9" s="56">
        <f t="shared" si="6"/>
        <v>0</v>
      </c>
      <c r="P9" s="56">
        <f t="shared" si="7"/>
        <v>0</v>
      </c>
      <c r="Q9" s="56">
        <f t="shared" si="8"/>
        <v>0</v>
      </c>
      <c r="R9" s="56">
        <f t="shared" si="9"/>
        <v>0.33333333333333331</v>
      </c>
      <c r="S9" s="56">
        <f t="shared" si="10"/>
        <v>0.33333333333333331</v>
      </c>
      <c r="T9" s="56">
        <f t="shared" si="11"/>
        <v>0.33333333333333331</v>
      </c>
      <c r="U9" s="56">
        <f t="shared" si="12"/>
        <v>0</v>
      </c>
      <c r="V9" s="56">
        <f t="shared" si="13"/>
        <v>0.14285714285714285</v>
      </c>
      <c r="W9" s="56">
        <f t="shared" si="14"/>
        <v>0.2857142857142857</v>
      </c>
      <c r="X9" s="56">
        <f t="shared" si="15"/>
        <v>0.5714285714285714</v>
      </c>
      <c r="Y9" s="56">
        <f t="shared" si="16"/>
        <v>0</v>
      </c>
      <c r="Z9" s="56">
        <f t="shared" si="17"/>
        <v>0.4</v>
      </c>
      <c r="AA9" s="56">
        <f t="shared" si="18"/>
        <v>0.2</v>
      </c>
      <c r="AB9" s="56">
        <f t="shared" si="19"/>
        <v>0.4</v>
      </c>
      <c r="AC9" s="56">
        <f t="shared" si="20"/>
        <v>0</v>
      </c>
    </row>
    <row r="10" spans="1:29" x14ac:dyDescent="0.3">
      <c r="A10" s="6">
        <v>6</v>
      </c>
      <c r="B10" s="12" t="s">
        <v>251</v>
      </c>
      <c r="C10" s="12" t="s">
        <v>283</v>
      </c>
      <c r="D10" s="6"/>
      <c r="E10" s="6"/>
      <c r="F10" s="55">
        <v>4100</v>
      </c>
      <c r="G10" s="6">
        <f t="shared" si="0"/>
        <v>2</v>
      </c>
      <c r="J10" s="56">
        <f t="shared" si="1"/>
        <v>0</v>
      </c>
      <c r="K10" s="56">
        <f t="shared" si="2"/>
        <v>1</v>
      </c>
      <c r="L10" s="56">
        <f t="shared" si="3"/>
        <v>0</v>
      </c>
      <c r="M10" s="56">
        <f t="shared" si="4"/>
        <v>0</v>
      </c>
      <c r="N10" s="56">
        <f t="shared" si="5"/>
        <v>1</v>
      </c>
      <c r="O10" s="56">
        <f t="shared" si="6"/>
        <v>0</v>
      </c>
      <c r="P10" s="56">
        <f t="shared" si="7"/>
        <v>0</v>
      </c>
      <c r="Q10" s="56">
        <f t="shared" si="8"/>
        <v>0</v>
      </c>
      <c r="R10" s="56">
        <f t="shared" si="9"/>
        <v>0.5</v>
      </c>
      <c r="S10" s="56">
        <f t="shared" si="10"/>
        <v>0.5</v>
      </c>
      <c r="T10" s="56">
        <f t="shared" si="11"/>
        <v>0</v>
      </c>
      <c r="U10" s="56">
        <f t="shared" si="12"/>
        <v>0</v>
      </c>
      <c r="V10" s="56">
        <f t="shared" si="13"/>
        <v>0.33333333333333331</v>
      </c>
      <c r="W10" s="56">
        <f t="shared" si="14"/>
        <v>0.66666666666666663</v>
      </c>
      <c r="X10" s="56">
        <f t="shared" si="15"/>
        <v>0</v>
      </c>
      <c r="Y10" s="56">
        <f t="shared" si="16"/>
        <v>0</v>
      </c>
      <c r="Z10" s="56">
        <f t="shared" si="17"/>
        <v>0.5</v>
      </c>
      <c r="AA10" s="56">
        <f t="shared" si="18"/>
        <v>0.5</v>
      </c>
      <c r="AB10" s="56">
        <f t="shared" si="19"/>
        <v>0</v>
      </c>
      <c r="AC10" s="56">
        <f t="shared" si="20"/>
        <v>0</v>
      </c>
    </row>
    <row r="11" spans="1:29" x14ac:dyDescent="0.3">
      <c r="A11" s="6">
        <v>7</v>
      </c>
      <c r="B11" s="12" t="s">
        <v>242</v>
      </c>
      <c r="C11" s="12" t="s">
        <v>268</v>
      </c>
      <c r="D11" s="12" t="s">
        <v>290</v>
      </c>
      <c r="E11" s="12" t="s">
        <v>276</v>
      </c>
      <c r="F11" s="55">
        <v>6200</v>
      </c>
      <c r="G11" s="6">
        <f t="shared" si="0"/>
        <v>4</v>
      </c>
      <c r="J11" s="56">
        <f t="shared" si="1"/>
        <v>0</v>
      </c>
      <c r="K11" s="56">
        <f t="shared" si="2"/>
        <v>0</v>
      </c>
      <c r="L11" s="56">
        <f t="shared" si="3"/>
        <v>0</v>
      </c>
      <c r="M11" s="56">
        <f t="shared" si="4"/>
        <v>1</v>
      </c>
      <c r="N11" s="56">
        <f t="shared" si="5"/>
        <v>1</v>
      </c>
      <c r="O11" s="56">
        <f t="shared" si="6"/>
        <v>0</v>
      </c>
      <c r="P11" s="56">
        <f t="shared" si="7"/>
        <v>0</v>
      </c>
      <c r="Q11" s="56">
        <f t="shared" si="8"/>
        <v>0</v>
      </c>
      <c r="R11" s="56">
        <f t="shared" si="9"/>
        <v>0.25</v>
      </c>
      <c r="S11" s="56">
        <f t="shared" si="10"/>
        <v>0.25</v>
      </c>
      <c r="T11" s="56">
        <f t="shared" si="11"/>
        <v>0.25</v>
      </c>
      <c r="U11" s="56">
        <f t="shared" si="12"/>
        <v>0.25</v>
      </c>
      <c r="V11" s="56">
        <f t="shared" si="13"/>
        <v>6.6666666666666666E-2</v>
      </c>
      <c r="W11" s="56">
        <f t="shared" si="14"/>
        <v>0.13333333333333333</v>
      </c>
      <c r="X11" s="56">
        <f t="shared" si="15"/>
        <v>0.26666666666666666</v>
      </c>
      <c r="Y11" s="56">
        <f t="shared" si="16"/>
        <v>0.53333333333333333</v>
      </c>
      <c r="Z11" s="56">
        <f t="shared" si="17"/>
        <v>0.4</v>
      </c>
      <c r="AA11" s="56">
        <f t="shared" si="18"/>
        <v>0.1</v>
      </c>
      <c r="AB11" s="56">
        <f t="shared" si="19"/>
        <v>0.1</v>
      </c>
      <c r="AC11" s="56">
        <f t="shared" si="20"/>
        <v>0.4</v>
      </c>
    </row>
    <row r="12" spans="1:29" x14ac:dyDescent="0.3">
      <c r="A12" s="6">
        <v>8</v>
      </c>
      <c r="B12" s="12" t="s">
        <v>259</v>
      </c>
      <c r="C12" s="12" t="s">
        <v>290</v>
      </c>
      <c r="D12" s="6"/>
      <c r="E12" s="6"/>
      <c r="F12" s="55">
        <v>3700</v>
      </c>
      <c r="G12" s="6">
        <f t="shared" si="0"/>
        <v>2</v>
      </c>
      <c r="J12" s="56">
        <f t="shared" si="1"/>
        <v>0</v>
      </c>
      <c r="K12" s="56">
        <f t="shared" si="2"/>
        <v>1</v>
      </c>
      <c r="L12" s="56">
        <f t="shared" si="3"/>
        <v>0</v>
      </c>
      <c r="M12" s="56">
        <f t="shared" si="4"/>
        <v>0</v>
      </c>
      <c r="N12" s="56">
        <f t="shared" si="5"/>
        <v>1</v>
      </c>
      <c r="O12" s="56">
        <f t="shared" si="6"/>
        <v>0</v>
      </c>
      <c r="P12" s="56">
        <f t="shared" si="7"/>
        <v>0</v>
      </c>
      <c r="Q12" s="56">
        <f t="shared" si="8"/>
        <v>0</v>
      </c>
      <c r="R12" s="56">
        <f t="shared" si="9"/>
        <v>0.5</v>
      </c>
      <c r="S12" s="56">
        <f t="shared" si="10"/>
        <v>0.5</v>
      </c>
      <c r="T12" s="56">
        <f t="shared" si="11"/>
        <v>0</v>
      </c>
      <c r="U12" s="56">
        <f t="shared" si="12"/>
        <v>0</v>
      </c>
      <c r="V12" s="56">
        <f t="shared" si="13"/>
        <v>0.33333333333333331</v>
      </c>
      <c r="W12" s="56">
        <f t="shared" si="14"/>
        <v>0.66666666666666663</v>
      </c>
      <c r="X12" s="56">
        <f t="shared" si="15"/>
        <v>0</v>
      </c>
      <c r="Y12" s="56">
        <f t="shared" si="16"/>
        <v>0</v>
      </c>
      <c r="Z12" s="56">
        <f t="shared" si="17"/>
        <v>0.5</v>
      </c>
      <c r="AA12" s="56">
        <f t="shared" si="18"/>
        <v>0.5</v>
      </c>
      <c r="AB12" s="56">
        <f t="shared" si="19"/>
        <v>0</v>
      </c>
      <c r="AC12" s="56">
        <f t="shared" si="20"/>
        <v>0</v>
      </c>
    </row>
    <row r="13" spans="1:29" x14ac:dyDescent="0.3">
      <c r="A13" s="6">
        <v>9</v>
      </c>
      <c r="B13" s="12" t="s">
        <v>283</v>
      </c>
      <c r="C13" s="6"/>
      <c r="D13" s="6"/>
      <c r="E13" s="6"/>
      <c r="F13" s="55">
        <v>4400</v>
      </c>
      <c r="G13" s="6">
        <f t="shared" si="0"/>
        <v>1</v>
      </c>
      <c r="J13" s="56">
        <f t="shared" si="1"/>
        <v>1</v>
      </c>
      <c r="K13" s="56">
        <f t="shared" si="2"/>
        <v>0</v>
      </c>
      <c r="L13" s="56">
        <f t="shared" si="3"/>
        <v>0</v>
      </c>
      <c r="M13" s="56">
        <f t="shared" si="4"/>
        <v>0</v>
      </c>
      <c r="N13" s="56">
        <f t="shared" si="5"/>
        <v>1</v>
      </c>
      <c r="O13" s="56">
        <f t="shared" si="6"/>
        <v>0</v>
      </c>
      <c r="P13" s="56">
        <f t="shared" si="7"/>
        <v>0</v>
      </c>
      <c r="Q13" s="56">
        <f t="shared" si="8"/>
        <v>0</v>
      </c>
      <c r="R13" s="56">
        <f t="shared" si="9"/>
        <v>1</v>
      </c>
      <c r="S13" s="56">
        <f t="shared" si="10"/>
        <v>0</v>
      </c>
      <c r="T13" s="56">
        <f t="shared" si="11"/>
        <v>0</v>
      </c>
      <c r="U13" s="56">
        <f t="shared" si="12"/>
        <v>0</v>
      </c>
      <c r="V13" s="56">
        <f t="shared" si="13"/>
        <v>1</v>
      </c>
      <c r="W13" s="56">
        <f t="shared" si="14"/>
        <v>0</v>
      </c>
      <c r="X13" s="56">
        <f t="shared" si="15"/>
        <v>0</v>
      </c>
      <c r="Y13" s="56">
        <f t="shared" si="16"/>
        <v>0</v>
      </c>
      <c r="Z13" s="56">
        <f t="shared" si="17"/>
        <v>1</v>
      </c>
      <c r="AA13" s="56">
        <f t="shared" si="18"/>
        <v>0</v>
      </c>
      <c r="AB13" s="56">
        <f t="shared" si="19"/>
        <v>0</v>
      </c>
      <c r="AC13" s="56">
        <f t="shared" si="20"/>
        <v>0</v>
      </c>
    </row>
    <row r="14" spans="1:29" x14ac:dyDescent="0.3">
      <c r="A14" s="6">
        <v>10</v>
      </c>
      <c r="B14" s="12" t="s">
        <v>242</v>
      </c>
      <c r="C14" s="12" t="s">
        <v>283</v>
      </c>
      <c r="D14" s="12" t="s">
        <v>297</v>
      </c>
      <c r="E14" s="6"/>
      <c r="F14" s="55">
        <v>5100</v>
      </c>
      <c r="G14" s="6">
        <f t="shared" si="0"/>
        <v>3</v>
      </c>
      <c r="J14" s="56">
        <f t="shared" si="1"/>
        <v>0</v>
      </c>
      <c r="K14" s="56">
        <f t="shared" si="2"/>
        <v>0</v>
      </c>
      <c r="L14" s="56">
        <f t="shared" si="3"/>
        <v>1</v>
      </c>
      <c r="M14" s="56">
        <f t="shared" si="4"/>
        <v>0</v>
      </c>
      <c r="N14" s="56">
        <f t="shared" si="5"/>
        <v>1</v>
      </c>
      <c r="O14" s="56">
        <f t="shared" si="6"/>
        <v>0</v>
      </c>
      <c r="P14" s="56">
        <f t="shared" si="7"/>
        <v>0</v>
      </c>
      <c r="Q14" s="56">
        <f t="shared" si="8"/>
        <v>0</v>
      </c>
      <c r="R14" s="56">
        <f t="shared" si="9"/>
        <v>0.33333333333333331</v>
      </c>
      <c r="S14" s="56">
        <f t="shared" si="10"/>
        <v>0.33333333333333331</v>
      </c>
      <c r="T14" s="56">
        <f t="shared" si="11"/>
        <v>0.33333333333333331</v>
      </c>
      <c r="U14" s="56">
        <f t="shared" si="12"/>
        <v>0</v>
      </c>
      <c r="V14" s="56">
        <f t="shared" si="13"/>
        <v>0.14285714285714285</v>
      </c>
      <c r="W14" s="56">
        <f t="shared" si="14"/>
        <v>0.2857142857142857</v>
      </c>
      <c r="X14" s="56">
        <f t="shared" si="15"/>
        <v>0.5714285714285714</v>
      </c>
      <c r="Y14" s="56">
        <f t="shared" si="16"/>
        <v>0</v>
      </c>
      <c r="Z14" s="56">
        <f t="shared" si="17"/>
        <v>0.4</v>
      </c>
      <c r="AA14" s="56">
        <f t="shared" si="18"/>
        <v>0.2</v>
      </c>
      <c r="AB14" s="56">
        <f t="shared" si="19"/>
        <v>0.4</v>
      </c>
      <c r="AC14" s="56">
        <f t="shared" si="20"/>
        <v>0</v>
      </c>
    </row>
    <row r="15" spans="1:29" x14ac:dyDescent="0.3">
      <c r="A15" s="6">
        <v>11</v>
      </c>
      <c r="B15" s="12" t="s">
        <v>268</v>
      </c>
      <c r="C15" s="12" t="s">
        <v>276</v>
      </c>
      <c r="D15" s="6"/>
      <c r="E15" s="6"/>
      <c r="F15" s="55">
        <v>4000</v>
      </c>
      <c r="G15" s="6">
        <f t="shared" si="0"/>
        <v>2</v>
      </c>
      <c r="J15" s="56">
        <f t="shared" si="1"/>
        <v>0</v>
      </c>
      <c r="K15" s="56">
        <f t="shared" si="2"/>
        <v>1</v>
      </c>
      <c r="L15" s="56">
        <f t="shared" si="3"/>
        <v>0</v>
      </c>
      <c r="M15" s="56">
        <f t="shared" si="4"/>
        <v>0</v>
      </c>
      <c r="N15" s="56">
        <f t="shared" si="5"/>
        <v>1</v>
      </c>
      <c r="O15" s="56">
        <f t="shared" si="6"/>
        <v>0</v>
      </c>
      <c r="P15" s="56">
        <f t="shared" si="7"/>
        <v>0</v>
      </c>
      <c r="Q15" s="56">
        <f t="shared" si="8"/>
        <v>0</v>
      </c>
      <c r="R15" s="56">
        <f t="shared" si="9"/>
        <v>0.5</v>
      </c>
      <c r="S15" s="56">
        <f t="shared" si="10"/>
        <v>0.5</v>
      </c>
      <c r="T15" s="56">
        <f t="shared" si="11"/>
        <v>0</v>
      </c>
      <c r="U15" s="56">
        <f t="shared" si="12"/>
        <v>0</v>
      </c>
      <c r="V15" s="56">
        <f t="shared" si="13"/>
        <v>0.33333333333333331</v>
      </c>
      <c r="W15" s="56">
        <f t="shared" si="14"/>
        <v>0.66666666666666663</v>
      </c>
      <c r="X15" s="56">
        <f t="shared" si="15"/>
        <v>0</v>
      </c>
      <c r="Y15" s="56">
        <f t="shared" si="16"/>
        <v>0</v>
      </c>
      <c r="Z15" s="56">
        <f t="shared" si="17"/>
        <v>0.5</v>
      </c>
      <c r="AA15" s="56">
        <f t="shared" si="18"/>
        <v>0.5</v>
      </c>
      <c r="AB15" s="56">
        <f t="shared" si="19"/>
        <v>0</v>
      </c>
      <c r="AC15" s="56">
        <f t="shared" si="20"/>
        <v>0</v>
      </c>
    </row>
    <row r="16" spans="1:29" x14ac:dyDescent="0.3">
      <c r="A16" s="6">
        <v>12</v>
      </c>
      <c r="B16" s="12" t="s">
        <v>297</v>
      </c>
      <c r="C16" s="6"/>
      <c r="D16" s="6"/>
      <c r="E16" s="6"/>
      <c r="F16" s="55">
        <v>4600</v>
      </c>
      <c r="G16" s="6">
        <f t="shared" si="0"/>
        <v>1</v>
      </c>
      <c r="J16" s="56">
        <f t="shared" si="1"/>
        <v>1</v>
      </c>
      <c r="K16" s="56">
        <f t="shared" si="2"/>
        <v>0</v>
      </c>
      <c r="L16" s="56">
        <f t="shared" si="3"/>
        <v>0</v>
      </c>
      <c r="M16" s="56">
        <f t="shared" si="4"/>
        <v>0</v>
      </c>
      <c r="N16" s="56">
        <f t="shared" si="5"/>
        <v>1</v>
      </c>
      <c r="O16" s="56">
        <f t="shared" si="6"/>
        <v>0</v>
      </c>
      <c r="P16" s="56">
        <f t="shared" si="7"/>
        <v>0</v>
      </c>
      <c r="Q16" s="56">
        <f t="shared" si="8"/>
        <v>0</v>
      </c>
      <c r="R16" s="56">
        <f t="shared" si="9"/>
        <v>1</v>
      </c>
      <c r="S16" s="56">
        <f t="shared" si="10"/>
        <v>0</v>
      </c>
      <c r="T16" s="56">
        <f t="shared" si="11"/>
        <v>0</v>
      </c>
      <c r="U16" s="56">
        <f t="shared" si="12"/>
        <v>0</v>
      </c>
      <c r="V16" s="56">
        <f t="shared" si="13"/>
        <v>1</v>
      </c>
      <c r="W16" s="56">
        <f t="shared" si="14"/>
        <v>0</v>
      </c>
      <c r="X16" s="56">
        <f t="shared" si="15"/>
        <v>0</v>
      </c>
      <c r="Y16" s="56">
        <f t="shared" si="16"/>
        <v>0</v>
      </c>
      <c r="Z16" s="56">
        <f t="shared" si="17"/>
        <v>1</v>
      </c>
      <c r="AA16" s="56">
        <f t="shared" si="18"/>
        <v>0</v>
      </c>
      <c r="AB16" s="56">
        <f t="shared" si="19"/>
        <v>0</v>
      </c>
      <c r="AC16" s="56">
        <f t="shared" si="20"/>
        <v>0</v>
      </c>
    </row>
    <row r="17" spans="1:8" x14ac:dyDescent="0.3">
      <c r="E17" s="57" t="s">
        <v>318</v>
      </c>
      <c r="F17" s="58">
        <f>SUM(F5:F16)</f>
        <v>55100</v>
      </c>
    </row>
    <row r="19" spans="1:8" ht="15.6" x14ac:dyDescent="0.3">
      <c r="A19" s="4" t="s">
        <v>640</v>
      </c>
    </row>
    <row r="20" spans="1:8" ht="26.4" x14ac:dyDescent="0.3">
      <c r="A20" s="17" t="s">
        <v>188</v>
      </c>
      <c r="B20" s="17" t="s">
        <v>641</v>
      </c>
      <c r="C20" s="17" t="s">
        <v>642</v>
      </c>
      <c r="D20" s="17" t="s">
        <v>643</v>
      </c>
      <c r="E20" s="17" t="s">
        <v>644</v>
      </c>
      <c r="F20" s="17" t="s">
        <v>645</v>
      </c>
      <c r="G20" s="17" t="s">
        <v>646</v>
      </c>
      <c r="H20" s="17" t="s">
        <v>647</v>
      </c>
    </row>
    <row r="21" spans="1:8" x14ac:dyDescent="0.3">
      <c r="A21" s="6" t="s">
        <v>242</v>
      </c>
      <c r="B21" s="23">
        <f t="shared" ref="B21:B28" si="21">SUMPRODUCT((B$5:B$16=$A21)*J$5:J$16*$F$5:$F$16)+SUMPRODUCT((C$5:C$16=$A21)*K$5:K$16*$F$5:$F$16)+SUMPRODUCT((D$5:D$16=$A21)*L$5:L$16*$F$5:$F$16)+SUMPRODUCT((E$5:E$16=$A21)*M$5:M$16*$F$5:$F$16)</f>
        <v>0</v>
      </c>
      <c r="C21" s="23">
        <f t="shared" ref="C21:C28" si="22">SUMPRODUCT((B$5:B$16=$A21)*N$5:N$16*$F$5:$F$16)+SUMPRODUCT((C$5:C$16=$A21)*O$5:O$16*$F$5:$F$16)+SUMPRODUCT((D$5:D$16=$A21)*P$5:P$16*$F$5:$F$16)+SUMPRODUCT((E$5:E$16=$A21)*Q$5:Q$16*$F$5:$F$16)</f>
        <v>25900</v>
      </c>
      <c r="D21" s="23">
        <f t="shared" ref="D21:D28" si="23">SUMPRODUCT((B$5:B$16=$A21)*R$5:R$16*$F$5:$F$16)+SUMPRODUCT((C$5:C$16=$A21)*S$5:S$16*$F$5:$F$16)+SUMPRODUCT((D$5:D$16=$A21)*T$5:T$16*$F$5:$F$16)+SUMPRODUCT((E$5:E$16=$A21)*U$5:U$16*$F$5:$F$16)</f>
        <v>8816.6666666666661</v>
      </c>
      <c r="E21" s="23">
        <f t="shared" ref="E21:E28" si="24">SUMPRODUCT((B$5:B$16=$A21)*V$5:V$16*$F$5:$F$16)+SUMPRODUCT((C$5:C$16=$A21)*W$5:W$16*$F$5:$F$16)+SUMPRODUCT((D$5:D$16=$A21)*X$5:X$16*$F$5:$F$16)+SUMPRODUCT((E$5:E$16=$A21)*Y$5:Y$16*$F$5:$F$16)</f>
        <v>4027.6190476190477</v>
      </c>
      <c r="F21" s="23">
        <f t="shared" ref="F21:F28" si="25">SUMPRODUCT((B$5:B$16=$A21)*Z$5:Z$16*$F$5:$F$16)+SUMPRODUCT((C$5:C$16=$A21)*AA$5:AA$16*$F$5:$F$16)+SUMPRODUCT((D$5:D$16=$A21)*AB$5:AB$16*$F$5:$F$16)+SUMPRODUCT((E$5:E$16=$A21)*AC$5:AC$16*$F$5:$F$16)</f>
        <v>10780</v>
      </c>
      <c r="G21" s="59">
        <f t="shared" ref="G21:G28" si="26">F21-B21</f>
        <v>10780</v>
      </c>
      <c r="H21" s="60">
        <f t="shared" ref="H21:H28" si="27">F21/$F$29</f>
        <v>0.1956442831215971</v>
      </c>
    </row>
    <row r="22" spans="1:8" x14ac:dyDescent="0.3">
      <c r="A22" s="6" t="s">
        <v>251</v>
      </c>
      <c r="B22" s="23">
        <f t="shared" si="21"/>
        <v>0</v>
      </c>
      <c r="C22" s="23">
        <f t="shared" si="22"/>
        <v>4100</v>
      </c>
      <c r="D22" s="23">
        <f t="shared" si="23"/>
        <v>2050</v>
      </c>
      <c r="E22" s="23">
        <f t="shared" si="24"/>
        <v>1366.6666666666665</v>
      </c>
      <c r="F22" s="23">
        <f t="shared" si="25"/>
        <v>2050</v>
      </c>
      <c r="G22" s="59">
        <f t="shared" si="26"/>
        <v>2050</v>
      </c>
      <c r="H22" s="60">
        <f t="shared" si="27"/>
        <v>3.720508166969147E-2</v>
      </c>
    </row>
    <row r="23" spans="1:8" x14ac:dyDescent="0.3">
      <c r="A23" s="6" t="s">
        <v>259</v>
      </c>
      <c r="B23" s="23">
        <f t="shared" si="21"/>
        <v>0</v>
      </c>
      <c r="C23" s="23">
        <f t="shared" si="22"/>
        <v>3700</v>
      </c>
      <c r="D23" s="23">
        <f t="shared" si="23"/>
        <v>1850</v>
      </c>
      <c r="E23" s="23">
        <f t="shared" si="24"/>
        <v>1233.3333333333333</v>
      </c>
      <c r="F23" s="23">
        <f t="shared" si="25"/>
        <v>1850</v>
      </c>
      <c r="G23" s="59">
        <f t="shared" si="26"/>
        <v>1850</v>
      </c>
      <c r="H23" s="60">
        <f t="shared" si="27"/>
        <v>3.3575317604355719E-2</v>
      </c>
    </row>
    <row r="24" spans="1:8" x14ac:dyDescent="0.3">
      <c r="A24" s="6" t="s">
        <v>268</v>
      </c>
      <c r="B24" s="23">
        <f t="shared" si="21"/>
        <v>0</v>
      </c>
      <c r="C24" s="23">
        <f t="shared" si="22"/>
        <v>8500</v>
      </c>
      <c r="D24" s="23">
        <f t="shared" si="23"/>
        <v>6650</v>
      </c>
      <c r="E24" s="23">
        <f t="shared" si="24"/>
        <v>4174.2857142857138</v>
      </c>
      <c r="F24" s="23">
        <f t="shared" si="25"/>
        <v>5380</v>
      </c>
      <c r="G24" s="59">
        <f t="shared" si="26"/>
        <v>5380</v>
      </c>
      <c r="H24" s="60">
        <f t="shared" si="27"/>
        <v>9.7640653357531762E-2</v>
      </c>
    </row>
    <row r="25" spans="1:8" x14ac:dyDescent="0.3">
      <c r="A25" s="6" t="s">
        <v>290</v>
      </c>
      <c r="B25" s="23">
        <f t="shared" si="21"/>
        <v>7900</v>
      </c>
      <c r="C25" s="23">
        <f t="shared" si="22"/>
        <v>0</v>
      </c>
      <c r="D25" s="23">
        <f t="shared" si="23"/>
        <v>7000</v>
      </c>
      <c r="E25" s="23">
        <f t="shared" si="24"/>
        <v>8205.7142857142862</v>
      </c>
      <c r="F25" s="23">
        <f t="shared" si="25"/>
        <v>5470</v>
      </c>
      <c r="G25" s="59">
        <f t="shared" si="26"/>
        <v>-2430</v>
      </c>
      <c r="H25" s="60">
        <f t="shared" si="27"/>
        <v>9.9274047186932848E-2</v>
      </c>
    </row>
    <row r="26" spans="1:8" x14ac:dyDescent="0.3">
      <c r="A26" s="6" t="s">
        <v>276</v>
      </c>
      <c r="B26" s="23">
        <f t="shared" si="21"/>
        <v>23400</v>
      </c>
      <c r="C26" s="23">
        <f t="shared" si="22"/>
        <v>3900</v>
      </c>
      <c r="D26" s="23">
        <f t="shared" si="23"/>
        <v>12416.666666666666</v>
      </c>
      <c r="E26" s="23">
        <f t="shared" si="24"/>
        <v>16787.619047619046</v>
      </c>
      <c r="F26" s="23">
        <f t="shared" si="25"/>
        <v>13220</v>
      </c>
      <c r="G26" s="59">
        <f t="shared" si="26"/>
        <v>-10180</v>
      </c>
      <c r="H26" s="60">
        <f t="shared" si="27"/>
        <v>0.23992740471869328</v>
      </c>
    </row>
    <row r="27" spans="1:8" x14ac:dyDescent="0.3">
      <c r="A27" s="6" t="s">
        <v>283</v>
      </c>
      <c r="B27" s="23">
        <f t="shared" si="21"/>
        <v>8500</v>
      </c>
      <c r="C27" s="23">
        <f t="shared" si="22"/>
        <v>4400</v>
      </c>
      <c r="D27" s="23">
        <f t="shared" si="23"/>
        <v>8150</v>
      </c>
      <c r="E27" s="23">
        <f t="shared" si="24"/>
        <v>8590.4761904761908</v>
      </c>
      <c r="F27" s="23">
        <f t="shared" si="25"/>
        <v>7470</v>
      </c>
      <c r="G27" s="59">
        <f t="shared" si="26"/>
        <v>-1030</v>
      </c>
      <c r="H27" s="60">
        <f t="shared" si="27"/>
        <v>0.13557168784029039</v>
      </c>
    </row>
    <row r="28" spans="1:8" x14ac:dyDescent="0.3">
      <c r="A28" s="6" t="s">
        <v>297</v>
      </c>
      <c r="B28" s="23">
        <f t="shared" si="21"/>
        <v>15300</v>
      </c>
      <c r="C28" s="23">
        <f t="shared" si="22"/>
        <v>4600</v>
      </c>
      <c r="D28" s="23">
        <f t="shared" si="23"/>
        <v>8166.6666666666661</v>
      </c>
      <c r="E28" s="23">
        <f t="shared" si="24"/>
        <v>10714.285714285714</v>
      </c>
      <c r="F28" s="23">
        <f t="shared" si="25"/>
        <v>8880</v>
      </c>
      <c r="G28" s="59">
        <f t="shared" si="26"/>
        <v>-6420</v>
      </c>
      <c r="H28" s="60">
        <f t="shared" si="27"/>
        <v>0.16116152450090745</v>
      </c>
    </row>
    <row r="29" spans="1:8" ht="26.4" x14ac:dyDescent="0.3">
      <c r="A29" s="5" t="s">
        <v>648</v>
      </c>
      <c r="B29" s="50">
        <f>SUM(B21:B28)</f>
        <v>55100</v>
      </c>
      <c r="C29" s="50">
        <f>SUM(C21:C28)</f>
        <v>55100</v>
      </c>
      <c r="D29" s="50">
        <f>SUM(D21:D28)</f>
        <v>55099.999999999993</v>
      </c>
      <c r="E29" s="50">
        <f>SUM(E21:E28)</f>
        <v>55100</v>
      </c>
      <c r="F29" s="50">
        <f>SUM(F21:F28)</f>
        <v>55100</v>
      </c>
      <c r="G29" s="6"/>
      <c r="H29" s="60">
        <f>SUM(H21:H28)</f>
        <v>1</v>
      </c>
    </row>
    <row r="31" spans="1:8" ht="15.6" x14ac:dyDescent="0.3">
      <c r="A31" s="4" t="s">
        <v>649</v>
      </c>
    </row>
    <row r="32" spans="1:8" x14ac:dyDescent="0.3">
      <c r="A32" s="48" t="str">
        <f>"TikTok: "&amp;TEXT(B21,"#,##0")&amp;" EGP on last click vs "&amp;TEXT(F21,"#,##0")&amp;" EGP position-based. It opens the most journeys, so cutting it on last-click ROAS would starve Search and Retargeting."</f>
        <v>TikTok: 0 EGP on last click vs 10,780 EGP position-based. It opens the most journeys, so cutting it on last-click ROAS would starve Search and Retargeting.</v>
      </c>
    </row>
    <row r="33" spans="1:1" x14ac:dyDescent="0.3">
      <c r="A33" s="48" t="str">
        <f>"Google Search: "&amp;TEXT(B26,"#,##0")&amp;" EGP on last click vs "&amp;TEXT(F26,"#,##0")&amp;" EGP position-based. It closes demand other channels create; last click over-credits it."</f>
        <v>Google Search: 23,400 EGP on last click vs 13,220 EGP position-based. It closes demand other channels create; last click over-credits it.</v>
      </c>
    </row>
    <row r="34" spans="1:1" x14ac:dyDescent="0.3">
      <c r="A34" s="48" t="str">
        <f>"YouTube + Snapchat together hold only "&amp;TEXT(H22+H23,"0.0%")&amp;" of position-based credit: weak as openers and as closers."</f>
        <v>YouTube + Snapchat together hold only 7.1% of position-based credit: weak as openers and as closers.</v>
      </c>
    </row>
    <row r="35" spans="1:1" x14ac:dyDescent="0.3">
      <c r="A35" s="48" t="str">
        <f>"Why position-based and not GA4 data-driven: data-driven needs about 600 conversions a month. The test month closed about 220, so a rule-based model that credits both opener and closer is the honest stand-in."</f>
        <v>Why position-based and not GA4 data-driven: data-driven needs about 600 conversions a month. The test month closed about 220, so a rule-based model that credits both opener and closer is the honest stand-in.</v>
      </c>
    </row>
    <row r="36" spans="1:1" x14ac:dyDescent="0.3">
      <c r="A36" s="48" t="str">
        <f>"Decision rule used in the Dashboard: upper-funnel lines below break-even ROAS stay only if their position-based share clears the assist threshold on the Inputs sheet."</f>
        <v>Decision rule used in the Dashboard: upper-funnel lines below break-even ROAS stay only if their position-based share clears the assist threshold on the Inputs sheet.</v>
      </c>
    </row>
  </sheetData>
  <conditionalFormatting sqref="G21:G28">
    <cfRule type="cellIs" dxfId="6" priority="2" operator="greaterThan">
      <formula>0</formula>
    </cfRule>
    <cfRule type="cellIs" dxfId="5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7F7F"/>
  </sheetPr>
  <dimension ref="A1:R24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5" customWidth="1"/>
    <col min="3" max="4" width="6" customWidth="1"/>
    <col min="5" max="5" width="16" customWidth="1"/>
    <col min="6" max="6" width="7" customWidth="1"/>
    <col min="7" max="7" width="11" customWidth="1"/>
    <col min="8" max="8" width="12" customWidth="1"/>
    <col min="9" max="11" width="9" customWidth="1"/>
    <col min="12" max="12" width="12" customWidth="1"/>
    <col min="13" max="16" width="8" customWidth="1"/>
    <col min="17" max="17" width="9" customWidth="1"/>
    <col min="18" max="18" width="8" customWidth="1"/>
  </cols>
  <sheetData>
    <row r="1" spans="1:18" ht="21" x14ac:dyDescent="0.4">
      <c r="A1" s="15" t="s">
        <v>650</v>
      </c>
    </row>
    <row r="2" spans="1:18" x14ac:dyDescent="0.3">
      <c r="A2" s="16" t="s">
        <v>651</v>
      </c>
    </row>
    <row r="4" spans="1:18" ht="26.4" x14ac:dyDescent="0.3">
      <c r="A4" s="17" t="s">
        <v>652</v>
      </c>
      <c r="B4" s="17" t="s">
        <v>653</v>
      </c>
      <c r="C4" s="17" t="s">
        <v>329</v>
      </c>
      <c r="D4" s="17" t="s">
        <v>220</v>
      </c>
      <c r="E4" s="17" t="s">
        <v>221</v>
      </c>
      <c r="F4" s="17" t="s">
        <v>95</v>
      </c>
      <c r="G4" s="17" t="s">
        <v>654</v>
      </c>
      <c r="H4" s="17" t="s">
        <v>655</v>
      </c>
      <c r="I4" s="17" t="s">
        <v>656</v>
      </c>
      <c r="J4" s="17" t="s">
        <v>657</v>
      </c>
      <c r="K4" s="17" t="s">
        <v>658</v>
      </c>
      <c r="L4" s="17" t="s">
        <v>638</v>
      </c>
      <c r="M4" s="17" t="s">
        <v>231</v>
      </c>
      <c r="N4" s="17" t="s">
        <v>659</v>
      </c>
      <c r="O4" s="17" t="s">
        <v>660</v>
      </c>
      <c r="P4" s="17" t="s">
        <v>661</v>
      </c>
      <c r="Q4" s="17" t="s">
        <v>662</v>
      </c>
      <c r="R4" s="17" t="s">
        <v>287</v>
      </c>
    </row>
    <row r="5" spans="1:18" x14ac:dyDescent="0.3">
      <c r="A5" s="61">
        <v>46327</v>
      </c>
      <c r="B5" s="62">
        <v>1</v>
      </c>
      <c r="C5" s="62">
        <f t="shared" ref="C5:C68" si="0">MIN(4,INT((B5-1)/7)+1)</f>
        <v>1</v>
      </c>
      <c r="D5" s="62" t="s">
        <v>241</v>
      </c>
      <c r="E5" s="62" t="str">
        <f>INDEX('Media Plan'!$B$5:$B$12,MATCH(D5,'Media Plan'!$A$5:$A$12,0))</f>
        <v>TikTok</v>
      </c>
      <c r="F5" s="62" t="str">
        <f>INDEX('Media Plan'!$D$5:$D$12,MATCH(D5,'Media Plan'!$A$5:$A$12,0))</f>
        <v>TOFU</v>
      </c>
      <c r="G5" s="63">
        <v>1292</v>
      </c>
      <c r="H5" s="63">
        <v>46608</v>
      </c>
      <c r="I5" s="63">
        <v>265</v>
      </c>
      <c r="J5" s="63">
        <v>2</v>
      </c>
      <c r="K5" s="63">
        <v>0</v>
      </c>
      <c r="L5" s="63">
        <v>0</v>
      </c>
      <c r="M5" s="64">
        <f t="shared" ref="M5:M68" si="1">IFERROR(I5/H5,0)</f>
        <v>5.685719189838654E-3</v>
      </c>
      <c r="N5" s="65">
        <f t="shared" ref="N5:N68" si="2">IFERROR(G5/I5,0)</f>
        <v>4.8754716981132074</v>
      </c>
      <c r="O5" s="66">
        <f t="shared" ref="O5:O68" si="3">IFERROR(G5/H5*1000,0)</f>
        <v>27.720562993477515</v>
      </c>
      <c r="P5" s="64">
        <f t="shared" ref="P5:P68" si="4">IFERROR(K5/I5,0)</f>
        <v>0</v>
      </c>
      <c r="Q5" s="63" t="str">
        <f t="shared" ref="Q5:Q68" si="5">IFERROR(G5/K5,"-")</f>
        <v>-</v>
      </c>
      <c r="R5" s="67">
        <f t="shared" ref="R5:R68" si="6">IFERROR(L5/G5,0)</f>
        <v>0</v>
      </c>
    </row>
    <row r="6" spans="1:18" x14ac:dyDescent="0.3">
      <c r="A6" s="61">
        <v>46327</v>
      </c>
      <c r="B6" s="62">
        <v>1</v>
      </c>
      <c r="C6" s="62">
        <f t="shared" si="0"/>
        <v>1</v>
      </c>
      <c r="D6" s="62" t="s">
        <v>250</v>
      </c>
      <c r="E6" s="62" t="str">
        <f>INDEX('Media Plan'!$B$5:$B$12,MATCH(D6,'Media Plan'!$A$5:$A$12,0))</f>
        <v>YouTube</v>
      </c>
      <c r="F6" s="62" t="str">
        <f>INDEX('Media Plan'!$D$5:$D$12,MATCH(D6,'Media Plan'!$A$5:$A$12,0))</f>
        <v>TOFU</v>
      </c>
      <c r="G6" s="63">
        <v>434</v>
      </c>
      <c r="H6" s="63">
        <v>8642</v>
      </c>
      <c r="I6" s="63">
        <v>21</v>
      </c>
      <c r="J6" s="63">
        <v>0</v>
      </c>
      <c r="K6" s="63">
        <v>0</v>
      </c>
      <c r="L6" s="63">
        <v>0</v>
      </c>
      <c r="M6" s="64">
        <f t="shared" si="1"/>
        <v>2.4299930571626939E-3</v>
      </c>
      <c r="N6" s="65">
        <f t="shared" si="2"/>
        <v>20.666666666666668</v>
      </c>
      <c r="O6" s="66">
        <f t="shared" si="3"/>
        <v>50.219856514695678</v>
      </c>
      <c r="P6" s="64">
        <f t="shared" si="4"/>
        <v>0</v>
      </c>
      <c r="Q6" s="63" t="str">
        <f t="shared" si="5"/>
        <v>-</v>
      </c>
      <c r="R6" s="67">
        <f t="shared" si="6"/>
        <v>0</v>
      </c>
    </row>
    <row r="7" spans="1:18" x14ac:dyDescent="0.3">
      <c r="A7" s="61">
        <v>46327</v>
      </c>
      <c r="B7" s="62">
        <v>1</v>
      </c>
      <c r="C7" s="62">
        <f t="shared" si="0"/>
        <v>1</v>
      </c>
      <c r="D7" s="62" t="s">
        <v>258</v>
      </c>
      <c r="E7" s="62" t="str">
        <f>INDEX('Media Plan'!$B$5:$B$12,MATCH(D7,'Media Plan'!$A$5:$A$12,0))</f>
        <v>Snapchat</v>
      </c>
      <c r="F7" s="62" t="str">
        <f>INDEX('Media Plan'!$D$5:$D$12,MATCH(D7,'Media Plan'!$A$5:$A$12,0))</f>
        <v>MOFU</v>
      </c>
      <c r="G7" s="63">
        <v>389</v>
      </c>
      <c r="H7" s="63">
        <v>15546</v>
      </c>
      <c r="I7" s="63">
        <v>72</v>
      </c>
      <c r="J7" s="63">
        <v>0</v>
      </c>
      <c r="K7" s="63">
        <v>0</v>
      </c>
      <c r="L7" s="63">
        <v>0</v>
      </c>
      <c r="M7" s="64">
        <f t="shared" si="1"/>
        <v>4.631416441528367E-3</v>
      </c>
      <c r="N7" s="65">
        <f t="shared" si="2"/>
        <v>5.4027777777777777</v>
      </c>
      <c r="O7" s="66">
        <f t="shared" si="3"/>
        <v>25.022513829924097</v>
      </c>
      <c r="P7" s="64">
        <f t="shared" si="4"/>
        <v>0</v>
      </c>
      <c r="Q7" s="63" t="str">
        <f t="shared" si="5"/>
        <v>-</v>
      </c>
      <c r="R7" s="67">
        <f t="shared" si="6"/>
        <v>0</v>
      </c>
    </row>
    <row r="8" spans="1:18" x14ac:dyDescent="0.3">
      <c r="A8" s="61">
        <v>46327</v>
      </c>
      <c r="B8" s="62">
        <v>1</v>
      </c>
      <c r="C8" s="62">
        <f t="shared" si="0"/>
        <v>1</v>
      </c>
      <c r="D8" s="62" t="s">
        <v>266</v>
      </c>
      <c r="E8" s="62" t="str">
        <f>INDEX('Media Plan'!$B$5:$B$12,MATCH(D8,'Media Plan'!$A$5:$A$12,0))</f>
        <v>Meta</v>
      </c>
      <c r="F8" s="62" t="str">
        <f>INDEX('Media Plan'!$D$5:$D$12,MATCH(D8,'Media Plan'!$A$5:$A$12,0))</f>
        <v>MOFU</v>
      </c>
      <c r="G8" s="63">
        <v>1685</v>
      </c>
      <c r="H8" s="63">
        <v>32070</v>
      </c>
      <c r="I8" s="63">
        <v>450</v>
      </c>
      <c r="J8" s="63">
        <v>9</v>
      </c>
      <c r="K8" s="63">
        <v>1</v>
      </c>
      <c r="L8" s="63">
        <v>5170</v>
      </c>
      <c r="M8" s="64">
        <f t="shared" si="1"/>
        <v>1.4031805425631431E-2</v>
      </c>
      <c r="N8" s="65">
        <f t="shared" si="2"/>
        <v>3.7444444444444445</v>
      </c>
      <c r="O8" s="66">
        <f t="shared" si="3"/>
        <v>52.541315871531026</v>
      </c>
      <c r="P8" s="64">
        <f t="shared" si="4"/>
        <v>2.2222222222222222E-3</v>
      </c>
      <c r="Q8" s="63">
        <f t="shared" si="5"/>
        <v>1685</v>
      </c>
      <c r="R8" s="67">
        <f t="shared" si="6"/>
        <v>3.0682492581602374</v>
      </c>
    </row>
    <row r="9" spans="1:18" x14ac:dyDescent="0.3">
      <c r="A9" s="61">
        <v>46327</v>
      </c>
      <c r="B9" s="62">
        <v>1</v>
      </c>
      <c r="C9" s="62">
        <f t="shared" si="0"/>
        <v>1</v>
      </c>
      <c r="D9" s="62" t="s">
        <v>275</v>
      </c>
      <c r="E9" s="62" t="str">
        <f>INDEX('Media Plan'!$B$5:$B$12,MATCH(D9,'Media Plan'!$A$5:$A$12,0))</f>
        <v>Google Search</v>
      </c>
      <c r="F9" s="62" t="str">
        <f>INDEX('Media Plan'!$D$5:$D$12,MATCH(D9,'Media Plan'!$A$5:$A$12,0))</f>
        <v>BOFU</v>
      </c>
      <c r="G9" s="63">
        <v>1778</v>
      </c>
      <c r="H9" s="63">
        <v>5068</v>
      </c>
      <c r="I9" s="63">
        <v>293</v>
      </c>
      <c r="J9" s="63">
        <v>14</v>
      </c>
      <c r="K9" s="63">
        <v>2</v>
      </c>
      <c r="L9" s="63">
        <v>10470</v>
      </c>
      <c r="M9" s="64">
        <f t="shared" si="1"/>
        <v>5.7813733228097866E-2</v>
      </c>
      <c r="N9" s="65">
        <f t="shared" si="2"/>
        <v>6.0682593856655291</v>
      </c>
      <c r="O9" s="66">
        <f t="shared" si="3"/>
        <v>350.82872928176795</v>
      </c>
      <c r="P9" s="64">
        <f t="shared" si="4"/>
        <v>6.8259385665529011E-3</v>
      </c>
      <c r="Q9" s="63">
        <f t="shared" si="5"/>
        <v>889</v>
      </c>
      <c r="R9" s="67">
        <f t="shared" si="6"/>
        <v>5.8886389201349827</v>
      </c>
    </row>
    <row r="10" spans="1:18" x14ac:dyDescent="0.3">
      <c r="A10" s="61">
        <v>46327</v>
      </c>
      <c r="B10" s="62">
        <v>1</v>
      </c>
      <c r="C10" s="62">
        <f t="shared" si="0"/>
        <v>1</v>
      </c>
      <c r="D10" s="62" t="s">
        <v>282</v>
      </c>
      <c r="E10" s="62" t="str">
        <f>INDEX('Media Plan'!$B$5:$B$12,MATCH(D10,'Media Plan'!$A$5:$A$12,0))</f>
        <v>Google PMax</v>
      </c>
      <c r="F10" s="62" t="str">
        <f>INDEX('Media Plan'!$D$5:$D$12,MATCH(D10,'Media Plan'!$A$5:$A$12,0))</f>
        <v>BOFU</v>
      </c>
      <c r="G10" s="63">
        <v>1163</v>
      </c>
      <c r="H10" s="63">
        <v>16025</v>
      </c>
      <c r="I10" s="63">
        <v>242</v>
      </c>
      <c r="J10" s="63">
        <v>7</v>
      </c>
      <c r="K10" s="63">
        <v>2</v>
      </c>
      <c r="L10" s="63">
        <v>10530</v>
      </c>
      <c r="M10" s="64">
        <f t="shared" si="1"/>
        <v>1.5101404056162247E-2</v>
      </c>
      <c r="N10" s="65">
        <f t="shared" si="2"/>
        <v>4.8057851239669418</v>
      </c>
      <c r="O10" s="66">
        <f t="shared" si="3"/>
        <v>72.574102964118566</v>
      </c>
      <c r="P10" s="64">
        <f t="shared" si="4"/>
        <v>8.2644628099173556E-3</v>
      </c>
      <c r="Q10" s="63">
        <f t="shared" si="5"/>
        <v>581.5</v>
      </c>
      <c r="R10" s="67">
        <f t="shared" si="6"/>
        <v>9.0541702493551153</v>
      </c>
    </row>
    <row r="11" spans="1:18" x14ac:dyDescent="0.3">
      <c r="A11" s="61">
        <v>46327</v>
      </c>
      <c r="B11" s="62">
        <v>1</v>
      </c>
      <c r="C11" s="62">
        <f t="shared" si="0"/>
        <v>1</v>
      </c>
      <c r="D11" s="62" t="s">
        <v>289</v>
      </c>
      <c r="E11" s="62" t="str">
        <f>INDEX('Media Plan'!$B$5:$B$12,MATCH(D11,'Media Plan'!$A$5:$A$12,0))</f>
        <v>Meta</v>
      </c>
      <c r="F11" s="62" t="str">
        <f>INDEX('Media Plan'!$D$5:$D$12,MATCH(D11,'Media Plan'!$A$5:$A$12,0))</f>
        <v>BOFU</v>
      </c>
      <c r="G11" s="63">
        <v>1273</v>
      </c>
      <c r="H11" s="63">
        <v>15255</v>
      </c>
      <c r="I11" s="63">
        <v>245</v>
      </c>
      <c r="J11" s="63">
        <v>9</v>
      </c>
      <c r="K11" s="63">
        <v>1</v>
      </c>
      <c r="L11" s="63">
        <v>4120</v>
      </c>
      <c r="M11" s="64">
        <f t="shared" si="1"/>
        <v>1.6060308095706327E-2</v>
      </c>
      <c r="N11" s="65">
        <f t="shared" si="2"/>
        <v>5.1959183673469385</v>
      </c>
      <c r="O11" s="66">
        <f t="shared" si="3"/>
        <v>83.448049819731239</v>
      </c>
      <c r="P11" s="64">
        <f t="shared" si="4"/>
        <v>4.0816326530612249E-3</v>
      </c>
      <c r="Q11" s="63">
        <f t="shared" si="5"/>
        <v>1273</v>
      </c>
      <c r="R11" s="67">
        <f t="shared" si="6"/>
        <v>3.2364493322859387</v>
      </c>
    </row>
    <row r="12" spans="1:18" x14ac:dyDescent="0.3">
      <c r="A12" s="61">
        <v>46327</v>
      </c>
      <c r="B12" s="62">
        <v>1</v>
      </c>
      <c r="C12" s="62">
        <f t="shared" si="0"/>
        <v>1</v>
      </c>
      <c r="D12" s="62" t="s">
        <v>296</v>
      </c>
      <c r="E12" s="62" t="str">
        <f>INDEX('Media Plan'!$B$5:$B$12,MATCH(D12,'Media Plan'!$A$5:$A$12,0))</f>
        <v>Email + WhatsApp</v>
      </c>
      <c r="F12" s="62" t="str">
        <f>INDEX('Media Plan'!$D$5:$D$12,MATCH(D12,'Media Plan'!$A$5:$A$12,0))</f>
        <v>CARE</v>
      </c>
      <c r="G12" s="63">
        <v>377</v>
      </c>
      <c r="H12" s="63">
        <v>651</v>
      </c>
      <c r="I12" s="63">
        <v>54</v>
      </c>
      <c r="J12" s="63">
        <v>6</v>
      </c>
      <c r="K12" s="63">
        <v>1</v>
      </c>
      <c r="L12" s="63">
        <v>4200</v>
      </c>
      <c r="M12" s="64">
        <f t="shared" si="1"/>
        <v>8.294930875576037E-2</v>
      </c>
      <c r="N12" s="65">
        <f t="shared" si="2"/>
        <v>6.9814814814814818</v>
      </c>
      <c r="O12" s="66">
        <f t="shared" si="3"/>
        <v>579.10906298003079</v>
      </c>
      <c r="P12" s="64">
        <f t="shared" si="4"/>
        <v>1.8518518518518517E-2</v>
      </c>
      <c r="Q12" s="63">
        <f t="shared" si="5"/>
        <v>377</v>
      </c>
      <c r="R12" s="67">
        <f t="shared" si="6"/>
        <v>11.140583554376658</v>
      </c>
    </row>
    <row r="13" spans="1:18" x14ac:dyDescent="0.3">
      <c r="A13" s="61">
        <v>46328</v>
      </c>
      <c r="B13" s="62">
        <v>2</v>
      </c>
      <c r="C13" s="62">
        <f t="shared" si="0"/>
        <v>1</v>
      </c>
      <c r="D13" s="62" t="s">
        <v>241</v>
      </c>
      <c r="E13" s="62" t="str">
        <f>INDEX('Media Plan'!$B$5:$B$12,MATCH(D13,'Media Plan'!$A$5:$A$12,0))</f>
        <v>TikTok</v>
      </c>
      <c r="F13" s="62" t="str">
        <f>INDEX('Media Plan'!$D$5:$D$12,MATCH(D13,'Media Plan'!$A$5:$A$12,0))</f>
        <v>TOFU</v>
      </c>
      <c r="G13" s="63">
        <v>1381</v>
      </c>
      <c r="H13" s="63">
        <v>44968</v>
      </c>
      <c r="I13" s="63">
        <v>277</v>
      </c>
      <c r="J13" s="63">
        <v>2</v>
      </c>
      <c r="K13" s="63">
        <v>0</v>
      </c>
      <c r="L13" s="63">
        <v>0</v>
      </c>
      <c r="M13" s="64">
        <f t="shared" si="1"/>
        <v>6.1599359544565026E-3</v>
      </c>
      <c r="N13" s="65">
        <f t="shared" si="2"/>
        <v>4.9855595667870034</v>
      </c>
      <c r="O13" s="66">
        <f t="shared" si="3"/>
        <v>30.710727628535849</v>
      </c>
      <c r="P13" s="64">
        <f t="shared" si="4"/>
        <v>0</v>
      </c>
      <c r="Q13" s="63" t="str">
        <f t="shared" si="5"/>
        <v>-</v>
      </c>
      <c r="R13" s="67">
        <f t="shared" si="6"/>
        <v>0</v>
      </c>
    </row>
    <row r="14" spans="1:18" x14ac:dyDescent="0.3">
      <c r="A14" s="61">
        <v>46328</v>
      </c>
      <c r="B14" s="62">
        <v>2</v>
      </c>
      <c r="C14" s="62">
        <f t="shared" si="0"/>
        <v>1</v>
      </c>
      <c r="D14" s="62" t="s">
        <v>250</v>
      </c>
      <c r="E14" s="62" t="str">
        <f>INDEX('Media Plan'!$B$5:$B$12,MATCH(D14,'Media Plan'!$A$5:$A$12,0))</f>
        <v>YouTube</v>
      </c>
      <c r="F14" s="62" t="str">
        <f>INDEX('Media Plan'!$D$5:$D$12,MATCH(D14,'Media Plan'!$A$5:$A$12,0))</f>
        <v>TOFU</v>
      </c>
      <c r="G14" s="63">
        <v>383</v>
      </c>
      <c r="H14" s="63">
        <v>8265</v>
      </c>
      <c r="I14" s="63">
        <v>25</v>
      </c>
      <c r="J14" s="63">
        <v>0</v>
      </c>
      <c r="K14" s="63">
        <v>0</v>
      </c>
      <c r="L14" s="63">
        <v>0</v>
      </c>
      <c r="M14" s="64">
        <f t="shared" si="1"/>
        <v>3.0248033877797943E-3</v>
      </c>
      <c r="N14" s="65">
        <f t="shared" si="2"/>
        <v>15.32</v>
      </c>
      <c r="O14" s="66">
        <f t="shared" si="3"/>
        <v>46.339987900786454</v>
      </c>
      <c r="P14" s="64">
        <f t="shared" si="4"/>
        <v>0</v>
      </c>
      <c r="Q14" s="63" t="str">
        <f t="shared" si="5"/>
        <v>-</v>
      </c>
      <c r="R14" s="67">
        <f t="shared" si="6"/>
        <v>0</v>
      </c>
    </row>
    <row r="15" spans="1:18" x14ac:dyDescent="0.3">
      <c r="A15" s="61">
        <v>46328</v>
      </c>
      <c r="B15" s="62">
        <v>2</v>
      </c>
      <c r="C15" s="62">
        <f t="shared" si="0"/>
        <v>1</v>
      </c>
      <c r="D15" s="62" t="s">
        <v>258</v>
      </c>
      <c r="E15" s="62" t="str">
        <f>INDEX('Media Plan'!$B$5:$B$12,MATCH(D15,'Media Plan'!$A$5:$A$12,0))</f>
        <v>Snapchat</v>
      </c>
      <c r="F15" s="62" t="str">
        <f>INDEX('Media Plan'!$D$5:$D$12,MATCH(D15,'Media Plan'!$A$5:$A$12,0))</f>
        <v>MOFU</v>
      </c>
      <c r="G15" s="63">
        <v>435</v>
      </c>
      <c r="H15" s="63">
        <v>16495</v>
      </c>
      <c r="I15" s="63">
        <v>92</v>
      </c>
      <c r="J15" s="63">
        <v>0</v>
      </c>
      <c r="K15" s="63">
        <v>0</v>
      </c>
      <c r="L15" s="63">
        <v>0</v>
      </c>
      <c r="M15" s="64">
        <f t="shared" si="1"/>
        <v>5.5774477114277051E-3</v>
      </c>
      <c r="N15" s="65">
        <f t="shared" si="2"/>
        <v>4.7282608695652177</v>
      </c>
      <c r="O15" s="66">
        <f t="shared" si="3"/>
        <v>26.371627765989693</v>
      </c>
      <c r="P15" s="64">
        <f t="shared" si="4"/>
        <v>0</v>
      </c>
      <c r="Q15" s="63" t="str">
        <f t="shared" si="5"/>
        <v>-</v>
      </c>
      <c r="R15" s="67">
        <f t="shared" si="6"/>
        <v>0</v>
      </c>
    </row>
    <row r="16" spans="1:18" x14ac:dyDescent="0.3">
      <c r="A16" s="61">
        <v>46328</v>
      </c>
      <c r="B16" s="62">
        <v>2</v>
      </c>
      <c r="C16" s="62">
        <f t="shared" si="0"/>
        <v>1</v>
      </c>
      <c r="D16" s="62" t="s">
        <v>266</v>
      </c>
      <c r="E16" s="62" t="str">
        <f>INDEX('Media Plan'!$B$5:$B$12,MATCH(D16,'Media Plan'!$A$5:$A$12,0))</f>
        <v>Meta</v>
      </c>
      <c r="F16" s="62" t="str">
        <f>INDEX('Media Plan'!$D$5:$D$12,MATCH(D16,'Media Plan'!$A$5:$A$12,0))</f>
        <v>MOFU</v>
      </c>
      <c r="G16" s="63">
        <v>1593</v>
      </c>
      <c r="H16" s="63">
        <v>30081</v>
      </c>
      <c r="I16" s="63">
        <v>385</v>
      </c>
      <c r="J16" s="63">
        <v>8</v>
      </c>
      <c r="K16" s="63">
        <v>2</v>
      </c>
      <c r="L16" s="63">
        <v>10150</v>
      </c>
      <c r="M16" s="64">
        <f t="shared" si="1"/>
        <v>1.2798776636415012E-2</v>
      </c>
      <c r="N16" s="65">
        <f t="shared" si="2"/>
        <v>4.1376623376623378</v>
      </c>
      <c r="O16" s="66">
        <f t="shared" si="3"/>
        <v>52.957016056647049</v>
      </c>
      <c r="P16" s="64">
        <f t="shared" si="4"/>
        <v>5.1948051948051948E-3</v>
      </c>
      <c r="Q16" s="63">
        <f t="shared" si="5"/>
        <v>796.5</v>
      </c>
      <c r="R16" s="67">
        <f t="shared" si="6"/>
        <v>6.3716258631512872</v>
      </c>
    </row>
    <row r="17" spans="1:18" x14ac:dyDescent="0.3">
      <c r="A17" s="61">
        <v>46328</v>
      </c>
      <c r="B17" s="62">
        <v>2</v>
      </c>
      <c r="C17" s="62">
        <f t="shared" si="0"/>
        <v>1</v>
      </c>
      <c r="D17" s="62" t="s">
        <v>275</v>
      </c>
      <c r="E17" s="62" t="str">
        <f>INDEX('Media Plan'!$B$5:$B$12,MATCH(D17,'Media Plan'!$A$5:$A$12,0))</f>
        <v>Google Search</v>
      </c>
      <c r="F17" s="62" t="str">
        <f>INDEX('Media Plan'!$D$5:$D$12,MATCH(D17,'Media Plan'!$A$5:$A$12,0))</f>
        <v>BOFU</v>
      </c>
      <c r="G17" s="63">
        <v>1778</v>
      </c>
      <c r="H17" s="63">
        <v>4971</v>
      </c>
      <c r="I17" s="63">
        <v>296</v>
      </c>
      <c r="J17" s="63">
        <v>16</v>
      </c>
      <c r="K17" s="63">
        <v>2</v>
      </c>
      <c r="L17" s="63">
        <v>10120</v>
      </c>
      <c r="M17" s="64">
        <f t="shared" si="1"/>
        <v>5.9545363106014888E-2</v>
      </c>
      <c r="N17" s="65">
        <f t="shared" si="2"/>
        <v>6.006756756756757</v>
      </c>
      <c r="O17" s="66">
        <f t="shared" si="3"/>
        <v>357.67451217058942</v>
      </c>
      <c r="P17" s="64">
        <f t="shared" si="4"/>
        <v>6.7567567567567571E-3</v>
      </c>
      <c r="Q17" s="63">
        <f t="shared" si="5"/>
        <v>889</v>
      </c>
      <c r="R17" s="67">
        <f t="shared" si="6"/>
        <v>5.6917885264341956</v>
      </c>
    </row>
    <row r="18" spans="1:18" x14ac:dyDescent="0.3">
      <c r="A18" s="61">
        <v>46328</v>
      </c>
      <c r="B18" s="62">
        <v>2</v>
      </c>
      <c r="C18" s="62">
        <f t="shared" si="0"/>
        <v>1</v>
      </c>
      <c r="D18" s="62" t="s">
        <v>282</v>
      </c>
      <c r="E18" s="62" t="str">
        <f>INDEX('Media Plan'!$B$5:$B$12,MATCH(D18,'Media Plan'!$A$5:$A$12,0))</f>
        <v>Google PMax</v>
      </c>
      <c r="F18" s="62" t="str">
        <f>INDEX('Media Plan'!$D$5:$D$12,MATCH(D18,'Media Plan'!$A$5:$A$12,0))</f>
        <v>BOFU</v>
      </c>
      <c r="G18" s="63">
        <v>1010</v>
      </c>
      <c r="H18" s="63">
        <v>13364</v>
      </c>
      <c r="I18" s="63">
        <v>201</v>
      </c>
      <c r="J18" s="63">
        <v>4</v>
      </c>
      <c r="K18" s="63">
        <v>0</v>
      </c>
      <c r="L18" s="63">
        <v>0</v>
      </c>
      <c r="M18" s="64">
        <f t="shared" si="1"/>
        <v>1.5040407063753368E-2</v>
      </c>
      <c r="N18" s="65">
        <f t="shared" si="2"/>
        <v>5.0248756218905477</v>
      </c>
      <c r="O18" s="66">
        <f t="shared" si="3"/>
        <v>75.576174797964683</v>
      </c>
      <c r="P18" s="64">
        <f t="shared" si="4"/>
        <v>0</v>
      </c>
      <c r="Q18" s="63" t="str">
        <f t="shared" si="5"/>
        <v>-</v>
      </c>
      <c r="R18" s="67">
        <f t="shared" si="6"/>
        <v>0</v>
      </c>
    </row>
    <row r="19" spans="1:18" x14ac:dyDescent="0.3">
      <c r="A19" s="61">
        <v>46328</v>
      </c>
      <c r="B19" s="62">
        <v>2</v>
      </c>
      <c r="C19" s="62">
        <f t="shared" si="0"/>
        <v>1</v>
      </c>
      <c r="D19" s="62" t="s">
        <v>289</v>
      </c>
      <c r="E19" s="62" t="str">
        <f>INDEX('Media Plan'!$B$5:$B$12,MATCH(D19,'Media Plan'!$A$5:$A$12,0))</f>
        <v>Meta</v>
      </c>
      <c r="F19" s="62" t="str">
        <f>INDEX('Media Plan'!$D$5:$D$12,MATCH(D19,'Media Plan'!$A$5:$A$12,0))</f>
        <v>BOFU</v>
      </c>
      <c r="G19" s="63">
        <v>1133</v>
      </c>
      <c r="H19" s="63">
        <v>13607</v>
      </c>
      <c r="I19" s="63">
        <v>262</v>
      </c>
      <c r="J19" s="63">
        <v>11</v>
      </c>
      <c r="K19" s="63">
        <v>1</v>
      </c>
      <c r="L19" s="63">
        <v>5840</v>
      </c>
      <c r="M19" s="64">
        <f t="shared" si="1"/>
        <v>1.925479532593518E-2</v>
      </c>
      <c r="N19" s="65">
        <f t="shared" si="2"/>
        <v>4.3244274809160306</v>
      </c>
      <c r="O19" s="66">
        <f t="shared" si="3"/>
        <v>83.265966046887627</v>
      </c>
      <c r="P19" s="64">
        <f t="shared" si="4"/>
        <v>3.8167938931297708E-3</v>
      </c>
      <c r="Q19" s="63">
        <f t="shared" si="5"/>
        <v>1133</v>
      </c>
      <c r="R19" s="67">
        <f t="shared" si="6"/>
        <v>5.1544571932921448</v>
      </c>
    </row>
    <row r="20" spans="1:18" x14ac:dyDescent="0.3">
      <c r="A20" s="61">
        <v>46328</v>
      </c>
      <c r="B20" s="62">
        <v>2</v>
      </c>
      <c r="C20" s="62">
        <f t="shared" si="0"/>
        <v>1</v>
      </c>
      <c r="D20" s="62" t="s">
        <v>296</v>
      </c>
      <c r="E20" s="62" t="str">
        <f>INDEX('Media Plan'!$B$5:$B$12,MATCH(D20,'Media Plan'!$A$5:$A$12,0))</f>
        <v>Email + WhatsApp</v>
      </c>
      <c r="F20" s="62" t="str">
        <f>INDEX('Media Plan'!$D$5:$D$12,MATCH(D20,'Media Plan'!$A$5:$A$12,0))</f>
        <v>CARE</v>
      </c>
      <c r="G20" s="63">
        <v>420</v>
      </c>
      <c r="H20" s="63">
        <v>650</v>
      </c>
      <c r="I20" s="63">
        <v>57</v>
      </c>
      <c r="J20" s="63">
        <v>8</v>
      </c>
      <c r="K20" s="63">
        <v>0</v>
      </c>
      <c r="L20" s="63">
        <v>0</v>
      </c>
      <c r="M20" s="64">
        <f t="shared" si="1"/>
        <v>8.7692307692307694E-2</v>
      </c>
      <c r="N20" s="65">
        <f t="shared" si="2"/>
        <v>7.3684210526315788</v>
      </c>
      <c r="O20" s="66">
        <f t="shared" si="3"/>
        <v>646.15384615384619</v>
      </c>
      <c r="P20" s="64">
        <f t="shared" si="4"/>
        <v>0</v>
      </c>
      <c r="Q20" s="63" t="str">
        <f t="shared" si="5"/>
        <v>-</v>
      </c>
      <c r="R20" s="67">
        <f t="shared" si="6"/>
        <v>0</v>
      </c>
    </row>
    <row r="21" spans="1:18" x14ac:dyDescent="0.3">
      <c r="A21" s="61">
        <v>46329</v>
      </c>
      <c r="B21" s="62">
        <v>3</v>
      </c>
      <c r="C21" s="62">
        <f t="shared" si="0"/>
        <v>1</v>
      </c>
      <c r="D21" s="62" t="s">
        <v>241</v>
      </c>
      <c r="E21" s="62" t="str">
        <f>INDEX('Media Plan'!$B$5:$B$12,MATCH(D21,'Media Plan'!$A$5:$A$12,0))</f>
        <v>TikTok</v>
      </c>
      <c r="F21" s="62" t="str">
        <f>INDEX('Media Plan'!$D$5:$D$12,MATCH(D21,'Media Plan'!$A$5:$A$12,0))</f>
        <v>TOFU</v>
      </c>
      <c r="G21" s="63">
        <v>1305</v>
      </c>
      <c r="H21" s="63">
        <v>43244</v>
      </c>
      <c r="I21" s="63">
        <v>245</v>
      </c>
      <c r="J21" s="63">
        <v>1</v>
      </c>
      <c r="K21" s="63">
        <v>0</v>
      </c>
      <c r="L21" s="63">
        <v>0</v>
      </c>
      <c r="M21" s="64">
        <f t="shared" si="1"/>
        <v>5.6655258532975674E-3</v>
      </c>
      <c r="N21" s="65">
        <f t="shared" si="2"/>
        <v>5.3265306122448983</v>
      </c>
      <c r="O21" s="66">
        <f t="shared" si="3"/>
        <v>30.177596892054389</v>
      </c>
      <c r="P21" s="64">
        <f t="shared" si="4"/>
        <v>0</v>
      </c>
      <c r="Q21" s="63" t="str">
        <f t="shared" si="5"/>
        <v>-</v>
      </c>
      <c r="R21" s="67">
        <f t="shared" si="6"/>
        <v>0</v>
      </c>
    </row>
    <row r="22" spans="1:18" x14ac:dyDescent="0.3">
      <c r="A22" s="61">
        <v>46329</v>
      </c>
      <c r="B22" s="62">
        <v>3</v>
      </c>
      <c r="C22" s="62">
        <f t="shared" si="0"/>
        <v>1</v>
      </c>
      <c r="D22" s="62" t="s">
        <v>250</v>
      </c>
      <c r="E22" s="62" t="str">
        <f>INDEX('Media Plan'!$B$5:$B$12,MATCH(D22,'Media Plan'!$A$5:$A$12,0))</f>
        <v>YouTube</v>
      </c>
      <c r="F22" s="62" t="str">
        <f>INDEX('Media Plan'!$D$5:$D$12,MATCH(D22,'Media Plan'!$A$5:$A$12,0))</f>
        <v>TOFU</v>
      </c>
      <c r="G22" s="63">
        <v>410</v>
      </c>
      <c r="H22" s="63">
        <v>8741</v>
      </c>
      <c r="I22" s="63">
        <v>26</v>
      </c>
      <c r="J22" s="63">
        <v>0</v>
      </c>
      <c r="K22" s="63">
        <v>0</v>
      </c>
      <c r="L22" s="63">
        <v>0</v>
      </c>
      <c r="M22" s="64">
        <f t="shared" si="1"/>
        <v>2.9744880448461276E-3</v>
      </c>
      <c r="N22" s="65">
        <f t="shared" si="2"/>
        <v>15.76923076923077</v>
      </c>
      <c r="O22" s="66">
        <f t="shared" si="3"/>
        <v>46.905388399496623</v>
      </c>
      <c r="P22" s="64">
        <f t="shared" si="4"/>
        <v>0</v>
      </c>
      <c r="Q22" s="63" t="str">
        <f t="shared" si="5"/>
        <v>-</v>
      </c>
      <c r="R22" s="67">
        <f t="shared" si="6"/>
        <v>0</v>
      </c>
    </row>
    <row r="23" spans="1:18" x14ac:dyDescent="0.3">
      <c r="A23" s="61">
        <v>46329</v>
      </c>
      <c r="B23" s="62">
        <v>3</v>
      </c>
      <c r="C23" s="62">
        <f t="shared" si="0"/>
        <v>1</v>
      </c>
      <c r="D23" s="62" t="s">
        <v>258</v>
      </c>
      <c r="E23" s="62" t="str">
        <f>INDEX('Media Plan'!$B$5:$B$12,MATCH(D23,'Media Plan'!$A$5:$A$12,0))</f>
        <v>Snapchat</v>
      </c>
      <c r="F23" s="62" t="str">
        <f>INDEX('Media Plan'!$D$5:$D$12,MATCH(D23,'Media Plan'!$A$5:$A$12,0))</f>
        <v>MOFU</v>
      </c>
      <c r="G23" s="63">
        <v>417</v>
      </c>
      <c r="H23" s="63">
        <v>17584</v>
      </c>
      <c r="I23" s="63">
        <v>101</v>
      </c>
      <c r="J23" s="63">
        <v>0</v>
      </c>
      <c r="K23" s="63">
        <v>0</v>
      </c>
      <c r="L23" s="63">
        <v>0</v>
      </c>
      <c r="M23" s="64">
        <f t="shared" si="1"/>
        <v>5.7438580527752504E-3</v>
      </c>
      <c r="N23" s="65">
        <f t="shared" si="2"/>
        <v>4.1287128712871288</v>
      </c>
      <c r="O23" s="66">
        <f t="shared" si="3"/>
        <v>23.714740673339399</v>
      </c>
      <c r="P23" s="64">
        <f t="shared" si="4"/>
        <v>0</v>
      </c>
      <c r="Q23" s="63" t="str">
        <f t="shared" si="5"/>
        <v>-</v>
      </c>
      <c r="R23" s="67">
        <f t="shared" si="6"/>
        <v>0</v>
      </c>
    </row>
    <row r="24" spans="1:18" x14ac:dyDescent="0.3">
      <c r="A24" s="61">
        <v>46329</v>
      </c>
      <c r="B24" s="62">
        <v>3</v>
      </c>
      <c r="C24" s="62">
        <f t="shared" si="0"/>
        <v>1</v>
      </c>
      <c r="D24" s="62" t="s">
        <v>266</v>
      </c>
      <c r="E24" s="62" t="str">
        <f>INDEX('Media Plan'!$B$5:$B$12,MATCH(D24,'Media Plan'!$A$5:$A$12,0))</f>
        <v>Meta</v>
      </c>
      <c r="F24" s="62" t="str">
        <f>INDEX('Media Plan'!$D$5:$D$12,MATCH(D24,'Media Plan'!$A$5:$A$12,0))</f>
        <v>MOFU</v>
      </c>
      <c r="G24" s="63">
        <v>1722</v>
      </c>
      <c r="H24" s="63">
        <v>30772</v>
      </c>
      <c r="I24" s="63">
        <v>388</v>
      </c>
      <c r="J24" s="63">
        <v>6</v>
      </c>
      <c r="K24" s="63">
        <v>3</v>
      </c>
      <c r="L24" s="63">
        <v>13660</v>
      </c>
      <c r="M24" s="64">
        <f t="shared" si="1"/>
        <v>1.2608865202131808E-2</v>
      </c>
      <c r="N24" s="65">
        <f t="shared" si="2"/>
        <v>4.4381443298969074</v>
      </c>
      <c r="O24" s="66">
        <f t="shared" si="3"/>
        <v>55.95996360327571</v>
      </c>
      <c r="P24" s="64">
        <f t="shared" si="4"/>
        <v>7.7319587628865982E-3</v>
      </c>
      <c r="Q24" s="63">
        <f t="shared" si="5"/>
        <v>574</v>
      </c>
      <c r="R24" s="67">
        <f t="shared" si="6"/>
        <v>7.9326364692218352</v>
      </c>
    </row>
    <row r="25" spans="1:18" x14ac:dyDescent="0.3">
      <c r="A25" s="61">
        <v>46329</v>
      </c>
      <c r="B25" s="62">
        <v>3</v>
      </c>
      <c r="C25" s="62">
        <f t="shared" si="0"/>
        <v>1</v>
      </c>
      <c r="D25" s="62" t="s">
        <v>275</v>
      </c>
      <c r="E25" s="62" t="str">
        <f>INDEX('Media Plan'!$B$5:$B$12,MATCH(D25,'Media Plan'!$A$5:$A$12,0))</f>
        <v>Google Search</v>
      </c>
      <c r="F25" s="62" t="str">
        <f>INDEX('Media Plan'!$D$5:$D$12,MATCH(D25,'Media Plan'!$A$5:$A$12,0))</f>
        <v>BOFU</v>
      </c>
      <c r="G25" s="63">
        <v>1778</v>
      </c>
      <c r="H25" s="63">
        <v>4656</v>
      </c>
      <c r="I25" s="63">
        <v>317</v>
      </c>
      <c r="J25" s="63">
        <v>19</v>
      </c>
      <c r="K25" s="63">
        <v>1</v>
      </c>
      <c r="L25" s="63">
        <v>5730</v>
      </c>
      <c r="M25" s="64">
        <f t="shared" si="1"/>
        <v>6.8084192439862537E-2</v>
      </c>
      <c r="N25" s="65">
        <f t="shared" si="2"/>
        <v>5.6088328075709777</v>
      </c>
      <c r="O25" s="66">
        <f t="shared" si="3"/>
        <v>381.87285223367695</v>
      </c>
      <c r="P25" s="64">
        <f t="shared" si="4"/>
        <v>3.1545741324921135E-3</v>
      </c>
      <c r="Q25" s="63">
        <f t="shared" si="5"/>
        <v>1778</v>
      </c>
      <c r="R25" s="67">
        <f t="shared" si="6"/>
        <v>3.2227221597300337</v>
      </c>
    </row>
    <row r="26" spans="1:18" x14ac:dyDescent="0.3">
      <c r="A26" s="61">
        <v>46329</v>
      </c>
      <c r="B26" s="62">
        <v>3</v>
      </c>
      <c r="C26" s="62">
        <f t="shared" si="0"/>
        <v>1</v>
      </c>
      <c r="D26" s="62" t="s">
        <v>282</v>
      </c>
      <c r="E26" s="62" t="str">
        <f>INDEX('Media Plan'!$B$5:$B$12,MATCH(D26,'Media Plan'!$A$5:$A$12,0))</f>
        <v>Google PMax</v>
      </c>
      <c r="F26" s="62" t="str">
        <f>INDEX('Media Plan'!$D$5:$D$12,MATCH(D26,'Media Plan'!$A$5:$A$12,0))</f>
        <v>BOFU</v>
      </c>
      <c r="G26" s="63">
        <v>976</v>
      </c>
      <c r="H26" s="63">
        <v>13974</v>
      </c>
      <c r="I26" s="63">
        <v>188</v>
      </c>
      <c r="J26" s="63">
        <v>5</v>
      </c>
      <c r="K26" s="63">
        <v>2</v>
      </c>
      <c r="L26" s="63">
        <v>9040</v>
      </c>
      <c r="M26" s="64">
        <f t="shared" si="1"/>
        <v>1.3453556605123802E-2</v>
      </c>
      <c r="N26" s="65">
        <f t="shared" si="2"/>
        <v>5.1914893617021276</v>
      </c>
      <c r="O26" s="66">
        <f t="shared" si="3"/>
        <v>69.843995992557609</v>
      </c>
      <c r="P26" s="64">
        <f t="shared" si="4"/>
        <v>1.0638297872340425E-2</v>
      </c>
      <c r="Q26" s="63">
        <f t="shared" si="5"/>
        <v>488</v>
      </c>
      <c r="R26" s="67">
        <f t="shared" si="6"/>
        <v>9.2622950819672134</v>
      </c>
    </row>
    <row r="27" spans="1:18" x14ac:dyDescent="0.3">
      <c r="A27" s="61">
        <v>46329</v>
      </c>
      <c r="B27" s="62">
        <v>3</v>
      </c>
      <c r="C27" s="62">
        <f t="shared" si="0"/>
        <v>1</v>
      </c>
      <c r="D27" s="62" t="s">
        <v>289</v>
      </c>
      <c r="E27" s="62" t="str">
        <f>INDEX('Media Plan'!$B$5:$B$12,MATCH(D27,'Media Plan'!$A$5:$A$12,0))</f>
        <v>Meta</v>
      </c>
      <c r="F27" s="62" t="str">
        <f>INDEX('Media Plan'!$D$5:$D$12,MATCH(D27,'Media Plan'!$A$5:$A$12,0))</f>
        <v>BOFU</v>
      </c>
      <c r="G27" s="63">
        <v>1362</v>
      </c>
      <c r="H27" s="63">
        <v>16734</v>
      </c>
      <c r="I27" s="63">
        <v>280</v>
      </c>
      <c r="J27" s="63">
        <v>12</v>
      </c>
      <c r="K27" s="63">
        <v>2</v>
      </c>
      <c r="L27" s="63">
        <v>10900</v>
      </c>
      <c r="M27" s="64">
        <f t="shared" si="1"/>
        <v>1.6732401099557787E-2</v>
      </c>
      <c r="N27" s="65">
        <f t="shared" si="2"/>
        <v>4.8642857142857139</v>
      </c>
      <c r="O27" s="66">
        <f t="shared" si="3"/>
        <v>81.39117963427752</v>
      </c>
      <c r="P27" s="64">
        <f t="shared" si="4"/>
        <v>7.1428571428571426E-3</v>
      </c>
      <c r="Q27" s="63">
        <f t="shared" si="5"/>
        <v>681</v>
      </c>
      <c r="R27" s="67">
        <f t="shared" si="6"/>
        <v>8.0029368575624087</v>
      </c>
    </row>
    <row r="28" spans="1:18" x14ac:dyDescent="0.3">
      <c r="A28" s="61">
        <v>46329</v>
      </c>
      <c r="B28" s="62">
        <v>3</v>
      </c>
      <c r="C28" s="62">
        <f t="shared" si="0"/>
        <v>1</v>
      </c>
      <c r="D28" s="62" t="s">
        <v>296</v>
      </c>
      <c r="E28" s="62" t="str">
        <f>INDEX('Media Plan'!$B$5:$B$12,MATCH(D28,'Media Plan'!$A$5:$A$12,0))</f>
        <v>Email + WhatsApp</v>
      </c>
      <c r="F28" s="62" t="str">
        <f>INDEX('Media Plan'!$D$5:$D$12,MATCH(D28,'Media Plan'!$A$5:$A$12,0))</f>
        <v>CARE</v>
      </c>
      <c r="G28" s="63">
        <v>410</v>
      </c>
      <c r="H28" s="63">
        <v>681</v>
      </c>
      <c r="I28" s="63">
        <v>50</v>
      </c>
      <c r="J28" s="63">
        <v>6</v>
      </c>
      <c r="K28" s="63">
        <v>0</v>
      </c>
      <c r="L28" s="63">
        <v>0</v>
      </c>
      <c r="M28" s="64">
        <f t="shared" si="1"/>
        <v>7.3421439060205582E-2</v>
      </c>
      <c r="N28" s="65">
        <f t="shared" si="2"/>
        <v>8.1999999999999993</v>
      </c>
      <c r="O28" s="66">
        <f t="shared" si="3"/>
        <v>602.05580029368582</v>
      </c>
      <c r="P28" s="64">
        <f t="shared" si="4"/>
        <v>0</v>
      </c>
      <c r="Q28" s="63" t="str">
        <f t="shared" si="5"/>
        <v>-</v>
      </c>
      <c r="R28" s="67">
        <f t="shared" si="6"/>
        <v>0</v>
      </c>
    </row>
    <row r="29" spans="1:18" x14ac:dyDescent="0.3">
      <c r="A29" s="61">
        <v>46330</v>
      </c>
      <c r="B29" s="62">
        <v>4</v>
      </c>
      <c r="C29" s="62">
        <f t="shared" si="0"/>
        <v>1</v>
      </c>
      <c r="D29" s="62" t="s">
        <v>241</v>
      </c>
      <c r="E29" s="62" t="str">
        <f>INDEX('Media Plan'!$B$5:$B$12,MATCH(D29,'Media Plan'!$A$5:$A$12,0))</f>
        <v>TikTok</v>
      </c>
      <c r="F29" s="62" t="str">
        <f>INDEX('Media Plan'!$D$5:$D$12,MATCH(D29,'Media Plan'!$A$5:$A$12,0))</f>
        <v>TOFU</v>
      </c>
      <c r="G29" s="63">
        <v>1276</v>
      </c>
      <c r="H29" s="63">
        <v>44452</v>
      </c>
      <c r="I29" s="63">
        <v>249</v>
      </c>
      <c r="J29" s="63">
        <v>1</v>
      </c>
      <c r="K29" s="63">
        <v>0</v>
      </c>
      <c r="L29" s="63">
        <v>0</v>
      </c>
      <c r="M29" s="64">
        <f t="shared" si="1"/>
        <v>5.6015477368847296E-3</v>
      </c>
      <c r="N29" s="65">
        <f t="shared" si="2"/>
        <v>5.1244979919678713</v>
      </c>
      <c r="O29" s="66">
        <f t="shared" si="3"/>
        <v>28.705120129577971</v>
      </c>
      <c r="P29" s="64">
        <f t="shared" si="4"/>
        <v>0</v>
      </c>
      <c r="Q29" s="63" t="str">
        <f t="shared" si="5"/>
        <v>-</v>
      </c>
      <c r="R29" s="67">
        <f t="shared" si="6"/>
        <v>0</v>
      </c>
    </row>
    <row r="30" spans="1:18" x14ac:dyDescent="0.3">
      <c r="A30" s="61">
        <v>46330</v>
      </c>
      <c r="B30" s="62">
        <v>4</v>
      </c>
      <c r="C30" s="62">
        <f t="shared" si="0"/>
        <v>1</v>
      </c>
      <c r="D30" s="62" t="s">
        <v>250</v>
      </c>
      <c r="E30" s="62" t="str">
        <f>INDEX('Media Plan'!$B$5:$B$12,MATCH(D30,'Media Plan'!$A$5:$A$12,0))</f>
        <v>YouTube</v>
      </c>
      <c r="F30" s="62" t="str">
        <f>INDEX('Media Plan'!$D$5:$D$12,MATCH(D30,'Media Plan'!$A$5:$A$12,0))</f>
        <v>TOFU</v>
      </c>
      <c r="G30" s="63">
        <v>390</v>
      </c>
      <c r="H30" s="63">
        <v>7751</v>
      </c>
      <c r="I30" s="63">
        <v>23</v>
      </c>
      <c r="J30" s="63">
        <v>0</v>
      </c>
      <c r="K30" s="63">
        <v>0</v>
      </c>
      <c r="L30" s="63">
        <v>0</v>
      </c>
      <c r="M30" s="64">
        <f t="shared" si="1"/>
        <v>2.967359050445104E-3</v>
      </c>
      <c r="N30" s="65">
        <f t="shared" si="2"/>
        <v>16.956521739130434</v>
      </c>
      <c r="O30" s="66">
        <f t="shared" si="3"/>
        <v>50.316088246677843</v>
      </c>
      <c r="P30" s="64">
        <f t="shared" si="4"/>
        <v>0</v>
      </c>
      <c r="Q30" s="63" t="str">
        <f t="shared" si="5"/>
        <v>-</v>
      </c>
      <c r="R30" s="67">
        <f t="shared" si="6"/>
        <v>0</v>
      </c>
    </row>
    <row r="31" spans="1:18" x14ac:dyDescent="0.3">
      <c r="A31" s="61">
        <v>46330</v>
      </c>
      <c r="B31" s="62">
        <v>4</v>
      </c>
      <c r="C31" s="62">
        <f t="shared" si="0"/>
        <v>1</v>
      </c>
      <c r="D31" s="62" t="s">
        <v>258</v>
      </c>
      <c r="E31" s="62" t="str">
        <f>INDEX('Media Plan'!$B$5:$B$12,MATCH(D31,'Media Plan'!$A$5:$A$12,0))</f>
        <v>Snapchat</v>
      </c>
      <c r="F31" s="62" t="str">
        <f>INDEX('Media Plan'!$D$5:$D$12,MATCH(D31,'Media Plan'!$A$5:$A$12,0))</f>
        <v>MOFU</v>
      </c>
      <c r="G31" s="63">
        <v>434</v>
      </c>
      <c r="H31" s="63">
        <v>18191</v>
      </c>
      <c r="I31" s="63">
        <v>87</v>
      </c>
      <c r="J31" s="63">
        <v>0</v>
      </c>
      <c r="K31" s="63">
        <v>0</v>
      </c>
      <c r="L31" s="63">
        <v>0</v>
      </c>
      <c r="M31" s="64">
        <f t="shared" si="1"/>
        <v>4.7825847946786869E-3</v>
      </c>
      <c r="N31" s="65">
        <f t="shared" si="2"/>
        <v>4.9885057471264371</v>
      </c>
      <c r="O31" s="66">
        <f t="shared" si="3"/>
        <v>23.85795173437414</v>
      </c>
      <c r="P31" s="64">
        <f t="shared" si="4"/>
        <v>0</v>
      </c>
      <c r="Q31" s="63" t="str">
        <f t="shared" si="5"/>
        <v>-</v>
      </c>
      <c r="R31" s="67">
        <f t="shared" si="6"/>
        <v>0</v>
      </c>
    </row>
    <row r="32" spans="1:18" x14ac:dyDescent="0.3">
      <c r="A32" s="61">
        <v>46330</v>
      </c>
      <c r="B32" s="62">
        <v>4</v>
      </c>
      <c r="C32" s="62">
        <f t="shared" si="0"/>
        <v>1</v>
      </c>
      <c r="D32" s="62" t="s">
        <v>266</v>
      </c>
      <c r="E32" s="62" t="str">
        <f>INDEX('Media Plan'!$B$5:$B$12,MATCH(D32,'Media Plan'!$A$5:$A$12,0))</f>
        <v>Meta</v>
      </c>
      <c r="F32" s="62" t="str">
        <f>INDEX('Media Plan'!$D$5:$D$12,MATCH(D32,'Media Plan'!$A$5:$A$12,0))</f>
        <v>MOFU</v>
      </c>
      <c r="G32" s="63">
        <v>1656</v>
      </c>
      <c r="H32" s="63">
        <v>28797</v>
      </c>
      <c r="I32" s="63">
        <v>425</v>
      </c>
      <c r="J32" s="63">
        <v>7</v>
      </c>
      <c r="K32" s="63">
        <v>0</v>
      </c>
      <c r="L32" s="63">
        <v>0</v>
      </c>
      <c r="M32" s="64">
        <f t="shared" si="1"/>
        <v>1.4758481786297184E-2</v>
      </c>
      <c r="N32" s="65">
        <f t="shared" si="2"/>
        <v>3.8964705882352941</v>
      </c>
      <c r="O32" s="66">
        <f t="shared" si="3"/>
        <v>57.50599020731326</v>
      </c>
      <c r="P32" s="64">
        <f t="shared" si="4"/>
        <v>0</v>
      </c>
      <c r="Q32" s="63" t="str">
        <f t="shared" si="5"/>
        <v>-</v>
      </c>
      <c r="R32" s="67">
        <f t="shared" si="6"/>
        <v>0</v>
      </c>
    </row>
    <row r="33" spans="1:18" x14ac:dyDescent="0.3">
      <c r="A33" s="61">
        <v>46330</v>
      </c>
      <c r="B33" s="62">
        <v>4</v>
      </c>
      <c r="C33" s="62">
        <f t="shared" si="0"/>
        <v>1</v>
      </c>
      <c r="D33" s="62" t="s">
        <v>275</v>
      </c>
      <c r="E33" s="62" t="str">
        <f>INDEX('Media Plan'!$B$5:$B$12,MATCH(D33,'Media Plan'!$A$5:$A$12,0))</f>
        <v>Google Search</v>
      </c>
      <c r="F33" s="62" t="str">
        <f>INDEX('Media Plan'!$D$5:$D$12,MATCH(D33,'Media Plan'!$A$5:$A$12,0))</f>
        <v>BOFU</v>
      </c>
      <c r="G33" s="63">
        <v>1778</v>
      </c>
      <c r="H33" s="63">
        <v>4993</v>
      </c>
      <c r="I33" s="63">
        <v>309</v>
      </c>
      <c r="J33" s="63">
        <v>16</v>
      </c>
      <c r="K33" s="63">
        <v>4</v>
      </c>
      <c r="L33" s="63">
        <v>18090</v>
      </c>
      <c r="M33" s="64">
        <f t="shared" si="1"/>
        <v>6.1886641297816944E-2</v>
      </c>
      <c r="N33" s="65">
        <f t="shared" si="2"/>
        <v>5.7540453074433655</v>
      </c>
      <c r="O33" s="66">
        <f t="shared" si="3"/>
        <v>356.09853795313438</v>
      </c>
      <c r="P33" s="64">
        <f t="shared" si="4"/>
        <v>1.2944983818770227E-2</v>
      </c>
      <c r="Q33" s="63">
        <f t="shared" si="5"/>
        <v>444.5</v>
      </c>
      <c r="R33" s="67">
        <f t="shared" si="6"/>
        <v>10.174353205849268</v>
      </c>
    </row>
    <row r="34" spans="1:18" x14ac:dyDescent="0.3">
      <c r="A34" s="61">
        <v>46330</v>
      </c>
      <c r="B34" s="62">
        <v>4</v>
      </c>
      <c r="C34" s="62">
        <f t="shared" si="0"/>
        <v>1</v>
      </c>
      <c r="D34" s="62" t="s">
        <v>282</v>
      </c>
      <c r="E34" s="62" t="str">
        <f>INDEX('Media Plan'!$B$5:$B$12,MATCH(D34,'Media Plan'!$A$5:$A$12,0))</f>
        <v>Google PMax</v>
      </c>
      <c r="F34" s="62" t="str">
        <f>INDEX('Media Plan'!$D$5:$D$12,MATCH(D34,'Media Plan'!$A$5:$A$12,0))</f>
        <v>BOFU</v>
      </c>
      <c r="G34" s="63">
        <v>1070</v>
      </c>
      <c r="H34" s="63">
        <v>15479</v>
      </c>
      <c r="I34" s="63">
        <v>220</v>
      </c>
      <c r="J34" s="63">
        <v>6</v>
      </c>
      <c r="K34" s="63">
        <v>0</v>
      </c>
      <c r="L34" s="63">
        <v>0</v>
      </c>
      <c r="M34" s="64">
        <f t="shared" si="1"/>
        <v>1.4212804444731572E-2</v>
      </c>
      <c r="N34" s="65">
        <f t="shared" si="2"/>
        <v>4.8636363636363633</v>
      </c>
      <c r="O34" s="66">
        <f t="shared" si="3"/>
        <v>69.125912526649017</v>
      </c>
      <c r="P34" s="64">
        <f t="shared" si="4"/>
        <v>0</v>
      </c>
      <c r="Q34" s="63" t="str">
        <f t="shared" si="5"/>
        <v>-</v>
      </c>
      <c r="R34" s="67">
        <f t="shared" si="6"/>
        <v>0</v>
      </c>
    </row>
    <row r="35" spans="1:18" x14ac:dyDescent="0.3">
      <c r="A35" s="61">
        <v>46330</v>
      </c>
      <c r="B35" s="62">
        <v>4</v>
      </c>
      <c r="C35" s="62">
        <f t="shared" si="0"/>
        <v>1</v>
      </c>
      <c r="D35" s="62" t="s">
        <v>289</v>
      </c>
      <c r="E35" s="62" t="str">
        <f>INDEX('Media Plan'!$B$5:$B$12,MATCH(D35,'Media Plan'!$A$5:$A$12,0))</f>
        <v>Meta</v>
      </c>
      <c r="F35" s="62" t="str">
        <f>INDEX('Media Plan'!$D$5:$D$12,MATCH(D35,'Media Plan'!$A$5:$A$12,0))</f>
        <v>BOFU</v>
      </c>
      <c r="G35" s="63">
        <v>1233</v>
      </c>
      <c r="H35" s="63">
        <v>14009</v>
      </c>
      <c r="I35" s="63">
        <v>255</v>
      </c>
      <c r="J35" s="63">
        <v>13</v>
      </c>
      <c r="K35" s="63">
        <v>0</v>
      </c>
      <c r="L35" s="63">
        <v>0</v>
      </c>
      <c r="M35" s="64">
        <f t="shared" si="1"/>
        <v>1.8202584053108716E-2</v>
      </c>
      <c r="N35" s="65">
        <f t="shared" si="2"/>
        <v>4.8352941176470585</v>
      </c>
      <c r="O35" s="66">
        <f t="shared" si="3"/>
        <v>88.014847597972732</v>
      </c>
      <c r="P35" s="64">
        <f t="shared" si="4"/>
        <v>0</v>
      </c>
      <c r="Q35" s="63" t="str">
        <f t="shared" si="5"/>
        <v>-</v>
      </c>
      <c r="R35" s="67">
        <f t="shared" si="6"/>
        <v>0</v>
      </c>
    </row>
    <row r="36" spans="1:18" x14ac:dyDescent="0.3">
      <c r="A36" s="61">
        <v>46330</v>
      </c>
      <c r="B36" s="62">
        <v>4</v>
      </c>
      <c r="C36" s="62">
        <f t="shared" si="0"/>
        <v>1</v>
      </c>
      <c r="D36" s="62" t="s">
        <v>296</v>
      </c>
      <c r="E36" s="62" t="str">
        <f>INDEX('Media Plan'!$B$5:$B$12,MATCH(D36,'Media Plan'!$A$5:$A$12,0))</f>
        <v>Email + WhatsApp</v>
      </c>
      <c r="F36" s="62" t="str">
        <f>INDEX('Media Plan'!$D$5:$D$12,MATCH(D36,'Media Plan'!$A$5:$A$12,0))</f>
        <v>CARE</v>
      </c>
      <c r="G36" s="63">
        <v>450</v>
      </c>
      <c r="H36" s="63">
        <v>697</v>
      </c>
      <c r="I36" s="63">
        <v>61</v>
      </c>
      <c r="J36" s="63">
        <v>8</v>
      </c>
      <c r="K36" s="63">
        <v>1</v>
      </c>
      <c r="L36" s="63">
        <v>4080</v>
      </c>
      <c r="M36" s="64">
        <f t="shared" si="1"/>
        <v>8.7517934002869446E-2</v>
      </c>
      <c r="N36" s="65">
        <f t="shared" si="2"/>
        <v>7.3770491803278686</v>
      </c>
      <c r="O36" s="66">
        <f t="shared" si="3"/>
        <v>645.62410329985653</v>
      </c>
      <c r="P36" s="64">
        <f t="shared" si="4"/>
        <v>1.6393442622950821E-2</v>
      </c>
      <c r="Q36" s="63">
        <f t="shared" si="5"/>
        <v>450</v>
      </c>
      <c r="R36" s="67">
        <f t="shared" si="6"/>
        <v>9.0666666666666664</v>
      </c>
    </row>
    <row r="37" spans="1:18" x14ac:dyDescent="0.3">
      <c r="A37" s="61">
        <v>46331</v>
      </c>
      <c r="B37" s="62">
        <v>5</v>
      </c>
      <c r="C37" s="62">
        <f t="shared" si="0"/>
        <v>1</v>
      </c>
      <c r="D37" s="62" t="s">
        <v>241</v>
      </c>
      <c r="E37" s="62" t="str">
        <f>INDEX('Media Plan'!$B$5:$B$12,MATCH(D37,'Media Plan'!$A$5:$A$12,0))</f>
        <v>TikTok</v>
      </c>
      <c r="F37" s="62" t="str">
        <f>INDEX('Media Plan'!$D$5:$D$12,MATCH(D37,'Media Plan'!$A$5:$A$12,0))</f>
        <v>TOFU</v>
      </c>
      <c r="G37" s="63">
        <v>1220</v>
      </c>
      <c r="H37" s="63">
        <v>43756</v>
      </c>
      <c r="I37" s="63">
        <v>255</v>
      </c>
      <c r="J37" s="63">
        <v>2</v>
      </c>
      <c r="K37" s="63">
        <v>1</v>
      </c>
      <c r="L37" s="63">
        <v>4620</v>
      </c>
      <c r="M37" s="64">
        <f t="shared" si="1"/>
        <v>5.8277721912423442E-3</v>
      </c>
      <c r="N37" s="65">
        <f t="shared" si="2"/>
        <v>4.784313725490196</v>
      </c>
      <c r="O37" s="66">
        <f t="shared" si="3"/>
        <v>27.881890483590823</v>
      </c>
      <c r="P37" s="64">
        <f t="shared" si="4"/>
        <v>3.9215686274509803E-3</v>
      </c>
      <c r="Q37" s="63">
        <f t="shared" si="5"/>
        <v>1220</v>
      </c>
      <c r="R37" s="67">
        <f t="shared" si="6"/>
        <v>3.7868852459016393</v>
      </c>
    </row>
    <row r="38" spans="1:18" x14ac:dyDescent="0.3">
      <c r="A38" s="61">
        <v>46331</v>
      </c>
      <c r="B38" s="62">
        <v>5</v>
      </c>
      <c r="C38" s="62">
        <f t="shared" si="0"/>
        <v>1</v>
      </c>
      <c r="D38" s="62" t="s">
        <v>250</v>
      </c>
      <c r="E38" s="62" t="str">
        <f>INDEX('Media Plan'!$B$5:$B$12,MATCH(D38,'Media Plan'!$A$5:$A$12,0))</f>
        <v>YouTube</v>
      </c>
      <c r="F38" s="62" t="str">
        <f>INDEX('Media Plan'!$D$5:$D$12,MATCH(D38,'Media Plan'!$A$5:$A$12,0))</f>
        <v>TOFU</v>
      </c>
      <c r="G38" s="63">
        <v>409</v>
      </c>
      <c r="H38" s="63">
        <v>8065</v>
      </c>
      <c r="I38" s="63">
        <v>24</v>
      </c>
      <c r="J38" s="63">
        <v>0</v>
      </c>
      <c r="K38" s="63">
        <v>0</v>
      </c>
      <c r="L38" s="63">
        <v>0</v>
      </c>
      <c r="M38" s="64">
        <f t="shared" si="1"/>
        <v>2.9758214507129574E-3</v>
      </c>
      <c r="N38" s="65">
        <f t="shared" si="2"/>
        <v>17.041666666666668</v>
      </c>
      <c r="O38" s="66">
        <f t="shared" si="3"/>
        <v>50.712957222566651</v>
      </c>
      <c r="P38" s="64">
        <f t="shared" si="4"/>
        <v>0</v>
      </c>
      <c r="Q38" s="63" t="str">
        <f t="shared" si="5"/>
        <v>-</v>
      </c>
      <c r="R38" s="67">
        <f t="shared" si="6"/>
        <v>0</v>
      </c>
    </row>
    <row r="39" spans="1:18" x14ac:dyDescent="0.3">
      <c r="A39" s="61">
        <v>46331</v>
      </c>
      <c r="B39" s="62">
        <v>5</v>
      </c>
      <c r="C39" s="62">
        <f t="shared" si="0"/>
        <v>1</v>
      </c>
      <c r="D39" s="62" t="s">
        <v>258</v>
      </c>
      <c r="E39" s="62" t="str">
        <f>INDEX('Media Plan'!$B$5:$B$12,MATCH(D39,'Media Plan'!$A$5:$A$12,0))</f>
        <v>Snapchat</v>
      </c>
      <c r="F39" s="62" t="str">
        <f>INDEX('Media Plan'!$D$5:$D$12,MATCH(D39,'Media Plan'!$A$5:$A$12,0))</f>
        <v>MOFU</v>
      </c>
      <c r="G39" s="63">
        <v>382</v>
      </c>
      <c r="H39" s="63">
        <v>15793</v>
      </c>
      <c r="I39" s="63">
        <v>92</v>
      </c>
      <c r="J39" s="63">
        <v>0</v>
      </c>
      <c r="K39" s="63">
        <v>0</v>
      </c>
      <c r="L39" s="63">
        <v>0</v>
      </c>
      <c r="M39" s="64">
        <f t="shared" si="1"/>
        <v>5.825365668334072E-3</v>
      </c>
      <c r="N39" s="65">
        <f t="shared" si="2"/>
        <v>4.1521739130434785</v>
      </c>
      <c r="O39" s="66">
        <f t="shared" si="3"/>
        <v>24.187931361995822</v>
      </c>
      <c r="P39" s="64">
        <f t="shared" si="4"/>
        <v>0</v>
      </c>
      <c r="Q39" s="63" t="str">
        <f t="shared" si="5"/>
        <v>-</v>
      </c>
      <c r="R39" s="67">
        <f t="shared" si="6"/>
        <v>0</v>
      </c>
    </row>
    <row r="40" spans="1:18" x14ac:dyDescent="0.3">
      <c r="A40" s="61">
        <v>46331</v>
      </c>
      <c r="B40" s="62">
        <v>5</v>
      </c>
      <c r="C40" s="62">
        <f t="shared" si="0"/>
        <v>1</v>
      </c>
      <c r="D40" s="62" t="s">
        <v>266</v>
      </c>
      <c r="E40" s="62" t="str">
        <f>INDEX('Media Plan'!$B$5:$B$12,MATCH(D40,'Media Plan'!$A$5:$A$12,0))</f>
        <v>Meta</v>
      </c>
      <c r="F40" s="62" t="str">
        <f>INDEX('Media Plan'!$D$5:$D$12,MATCH(D40,'Media Plan'!$A$5:$A$12,0))</f>
        <v>MOFU</v>
      </c>
      <c r="G40" s="63">
        <v>1766</v>
      </c>
      <c r="H40" s="63">
        <v>34557</v>
      </c>
      <c r="I40" s="63">
        <v>485</v>
      </c>
      <c r="J40" s="63">
        <v>11</v>
      </c>
      <c r="K40" s="63">
        <v>2</v>
      </c>
      <c r="L40" s="63">
        <v>7800</v>
      </c>
      <c r="M40" s="64">
        <f t="shared" si="1"/>
        <v>1.403478311195995E-2</v>
      </c>
      <c r="N40" s="65">
        <f t="shared" si="2"/>
        <v>3.6412371134020618</v>
      </c>
      <c r="O40" s="66">
        <f t="shared" si="3"/>
        <v>51.103973145817058</v>
      </c>
      <c r="P40" s="64">
        <f t="shared" si="4"/>
        <v>4.1237113402061857E-3</v>
      </c>
      <c r="Q40" s="63">
        <f t="shared" si="5"/>
        <v>883</v>
      </c>
      <c r="R40" s="67">
        <f t="shared" si="6"/>
        <v>4.4167610419026051</v>
      </c>
    </row>
    <row r="41" spans="1:18" x14ac:dyDescent="0.3">
      <c r="A41" s="61">
        <v>46331</v>
      </c>
      <c r="B41" s="62">
        <v>5</v>
      </c>
      <c r="C41" s="62">
        <f t="shared" si="0"/>
        <v>1</v>
      </c>
      <c r="D41" s="62" t="s">
        <v>275</v>
      </c>
      <c r="E41" s="62" t="str">
        <f>INDEX('Media Plan'!$B$5:$B$12,MATCH(D41,'Media Plan'!$A$5:$A$12,0))</f>
        <v>Google Search</v>
      </c>
      <c r="F41" s="62" t="str">
        <f>INDEX('Media Plan'!$D$5:$D$12,MATCH(D41,'Media Plan'!$A$5:$A$12,0))</f>
        <v>BOFU</v>
      </c>
      <c r="G41" s="63">
        <v>1778</v>
      </c>
      <c r="H41" s="63">
        <v>4864</v>
      </c>
      <c r="I41" s="63">
        <v>319</v>
      </c>
      <c r="J41" s="63">
        <v>19</v>
      </c>
      <c r="K41" s="63">
        <v>1</v>
      </c>
      <c r="L41" s="63">
        <v>4150</v>
      </c>
      <c r="M41" s="64">
        <f t="shared" si="1"/>
        <v>6.5583881578947373E-2</v>
      </c>
      <c r="N41" s="65">
        <f t="shared" si="2"/>
        <v>5.5736677115987465</v>
      </c>
      <c r="O41" s="66">
        <f t="shared" si="3"/>
        <v>365.54276315789474</v>
      </c>
      <c r="P41" s="64">
        <f t="shared" si="4"/>
        <v>3.134796238244514E-3</v>
      </c>
      <c r="Q41" s="63">
        <f t="shared" si="5"/>
        <v>1778</v>
      </c>
      <c r="R41" s="67">
        <f t="shared" si="6"/>
        <v>2.3340832395950506</v>
      </c>
    </row>
    <row r="42" spans="1:18" x14ac:dyDescent="0.3">
      <c r="A42" s="61">
        <v>46331</v>
      </c>
      <c r="B42" s="62">
        <v>5</v>
      </c>
      <c r="C42" s="62">
        <f t="shared" si="0"/>
        <v>1</v>
      </c>
      <c r="D42" s="62" t="s">
        <v>282</v>
      </c>
      <c r="E42" s="62" t="str">
        <f>INDEX('Media Plan'!$B$5:$B$12,MATCH(D42,'Media Plan'!$A$5:$A$12,0))</f>
        <v>Google PMax</v>
      </c>
      <c r="F42" s="62" t="str">
        <f>INDEX('Media Plan'!$D$5:$D$12,MATCH(D42,'Media Plan'!$A$5:$A$12,0))</f>
        <v>BOFU</v>
      </c>
      <c r="G42" s="63">
        <v>1108</v>
      </c>
      <c r="H42" s="63">
        <v>15531</v>
      </c>
      <c r="I42" s="63">
        <v>228</v>
      </c>
      <c r="J42" s="63">
        <v>7</v>
      </c>
      <c r="K42" s="63">
        <v>1</v>
      </c>
      <c r="L42" s="63">
        <v>4060</v>
      </c>
      <c r="M42" s="64">
        <f t="shared" si="1"/>
        <v>1.4680316785783272E-2</v>
      </c>
      <c r="N42" s="65">
        <f t="shared" si="2"/>
        <v>4.8596491228070171</v>
      </c>
      <c r="O42" s="66">
        <f t="shared" si="3"/>
        <v>71.341188590560805</v>
      </c>
      <c r="P42" s="64">
        <f t="shared" si="4"/>
        <v>4.3859649122807015E-3</v>
      </c>
      <c r="Q42" s="63">
        <f t="shared" si="5"/>
        <v>1108</v>
      </c>
      <c r="R42" s="67">
        <f t="shared" si="6"/>
        <v>3.664259927797834</v>
      </c>
    </row>
    <row r="43" spans="1:18" x14ac:dyDescent="0.3">
      <c r="A43" s="61">
        <v>46331</v>
      </c>
      <c r="B43" s="62">
        <v>5</v>
      </c>
      <c r="C43" s="62">
        <f t="shared" si="0"/>
        <v>1</v>
      </c>
      <c r="D43" s="62" t="s">
        <v>289</v>
      </c>
      <c r="E43" s="62" t="str">
        <f>INDEX('Media Plan'!$B$5:$B$12,MATCH(D43,'Media Plan'!$A$5:$A$12,0))</f>
        <v>Meta</v>
      </c>
      <c r="F43" s="62" t="str">
        <f>INDEX('Media Plan'!$D$5:$D$12,MATCH(D43,'Media Plan'!$A$5:$A$12,0))</f>
        <v>BOFU</v>
      </c>
      <c r="G43" s="63">
        <v>1315</v>
      </c>
      <c r="H43" s="63">
        <v>16337</v>
      </c>
      <c r="I43" s="63">
        <v>287</v>
      </c>
      <c r="J43" s="63">
        <v>14</v>
      </c>
      <c r="K43" s="63">
        <v>2</v>
      </c>
      <c r="L43" s="63">
        <v>8390</v>
      </c>
      <c r="M43" s="64">
        <f t="shared" si="1"/>
        <v>1.756748485033972E-2</v>
      </c>
      <c r="N43" s="65">
        <f t="shared" si="2"/>
        <v>4.5818815331010452</v>
      </c>
      <c r="O43" s="66">
        <f t="shared" si="3"/>
        <v>80.492134418803943</v>
      </c>
      <c r="P43" s="64">
        <f t="shared" si="4"/>
        <v>6.9686411149825784E-3</v>
      </c>
      <c r="Q43" s="63">
        <f t="shared" si="5"/>
        <v>657.5</v>
      </c>
      <c r="R43" s="67">
        <f t="shared" si="6"/>
        <v>6.3802281368821294</v>
      </c>
    </row>
    <row r="44" spans="1:18" x14ac:dyDescent="0.3">
      <c r="A44" s="61">
        <v>46331</v>
      </c>
      <c r="B44" s="62">
        <v>5</v>
      </c>
      <c r="C44" s="62">
        <f t="shared" si="0"/>
        <v>1</v>
      </c>
      <c r="D44" s="62" t="s">
        <v>296</v>
      </c>
      <c r="E44" s="62" t="str">
        <f>INDEX('Media Plan'!$B$5:$B$12,MATCH(D44,'Media Plan'!$A$5:$A$12,0))</f>
        <v>Email + WhatsApp</v>
      </c>
      <c r="F44" s="62" t="str">
        <f>INDEX('Media Plan'!$D$5:$D$12,MATCH(D44,'Media Plan'!$A$5:$A$12,0))</f>
        <v>CARE</v>
      </c>
      <c r="G44" s="63">
        <v>467</v>
      </c>
      <c r="H44" s="63">
        <v>721</v>
      </c>
      <c r="I44" s="63">
        <v>52</v>
      </c>
      <c r="J44" s="63">
        <v>6</v>
      </c>
      <c r="K44" s="63">
        <v>0</v>
      </c>
      <c r="L44" s="63">
        <v>0</v>
      </c>
      <c r="M44" s="64">
        <f t="shared" si="1"/>
        <v>7.2122052704576972E-2</v>
      </c>
      <c r="N44" s="65">
        <f t="shared" si="2"/>
        <v>8.9807692307692299</v>
      </c>
      <c r="O44" s="66">
        <f t="shared" si="3"/>
        <v>647.71151178918171</v>
      </c>
      <c r="P44" s="64">
        <f t="shared" si="4"/>
        <v>0</v>
      </c>
      <c r="Q44" s="63" t="str">
        <f t="shared" si="5"/>
        <v>-</v>
      </c>
      <c r="R44" s="67">
        <f t="shared" si="6"/>
        <v>0</v>
      </c>
    </row>
    <row r="45" spans="1:18" x14ac:dyDescent="0.3">
      <c r="A45" s="61">
        <v>46332</v>
      </c>
      <c r="B45" s="62">
        <v>6</v>
      </c>
      <c r="C45" s="62">
        <f t="shared" si="0"/>
        <v>1</v>
      </c>
      <c r="D45" s="62" t="s">
        <v>241</v>
      </c>
      <c r="E45" s="62" t="str">
        <f>INDEX('Media Plan'!$B$5:$B$12,MATCH(D45,'Media Plan'!$A$5:$A$12,0))</f>
        <v>TikTok</v>
      </c>
      <c r="F45" s="62" t="str">
        <f>INDEX('Media Plan'!$D$5:$D$12,MATCH(D45,'Media Plan'!$A$5:$A$12,0))</f>
        <v>TOFU</v>
      </c>
      <c r="G45" s="63">
        <v>1380</v>
      </c>
      <c r="H45" s="63">
        <v>43357</v>
      </c>
      <c r="I45" s="63">
        <v>284</v>
      </c>
      <c r="J45" s="63">
        <v>1</v>
      </c>
      <c r="K45" s="63">
        <v>0</v>
      </c>
      <c r="L45" s="63">
        <v>0</v>
      </c>
      <c r="M45" s="64">
        <f t="shared" si="1"/>
        <v>6.5502686994026336E-3</v>
      </c>
      <c r="N45" s="65">
        <f t="shared" si="2"/>
        <v>4.859154929577465</v>
      </c>
      <c r="O45" s="66">
        <f t="shared" si="3"/>
        <v>31.828770440759275</v>
      </c>
      <c r="P45" s="64">
        <f t="shared" si="4"/>
        <v>0</v>
      </c>
      <c r="Q45" s="63" t="str">
        <f t="shared" si="5"/>
        <v>-</v>
      </c>
      <c r="R45" s="67">
        <f t="shared" si="6"/>
        <v>0</v>
      </c>
    </row>
    <row r="46" spans="1:18" x14ac:dyDescent="0.3">
      <c r="A46" s="61">
        <v>46332</v>
      </c>
      <c r="B46" s="62">
        <v>6</v>
      </c>
      <c r="C46" s="62">
        <f t="shared" si="0"/>
        <v>1</v>
      </c>
      <c r="D46" s="62" t="s">
        <v>250</v>
      </c>
      <c r="E46" s="62" t="str">
        <f>INDEX('Media Plan'!$B$5:$B$12,MATCH(D46,'Media Plan'!$A$5:$A$12,0))</f>
        <v>YouTube</v>
      </c>
      <c r="F46" s="62" t="str">
        <f>INDEX('Media Plan'!$D$5:$D$12,MATCH(D46,'Media Plan'!$A$5:$A$12,0))</f>
        <v>TOFU</v>
      </c>
      <c r="G46" s="63">
        <v>450</v>
      </c>
      <c r="H46" s="63">
        <v>9223</v>
      </c>
      <c r="I46" s="63">
        <v>26</v>
      </c>
      <c r="J46" s="63">
        <v>1</v>
      </c>
      <c r="K46" s="63">
        <v>1</v>
      </c>
      <c r="L46" s="63">
        <v>5440</v>
      </c>
      <c r="M46" s="64">
        <f t="shared" si="1"/>
        <v>2.8190393581264232E-3</v>
      </c>
      <c r="N46" s="65">
        <f t="shared" si="2"/>
        <v>17.307692307692307</v>
      </c>
      <c r="O46" s="66">
        <f t="shared" si="3"/>
        <v>48.791065813726554</v>
      </c>
      <c r="P46" s="64">
        <f t="shared" si="4"/>
        <v>3.8461538461538464E-2</v>
      </c>
      <c r="Q46" s="63">
        <f t="shared" si="5"/>
        <v>450</v>
      </c>
      <c r="R46" s="67">
        <f t="shared" si="6"/>
        <v>12.088888888888889</v>
      </c>
    </row>
    <row r="47" spans="1:18" x14ac:dyDescent="0.3">
      <c r="A47" s="61">
        <v>46332</v>
      </c>
      <c r="B47" s="62">
        <v>6</v>
      </c>
      <c r="C47" s="62">
        <f t="shared" si="0"/>
        <v>1</v>
      </c>
      <c r="D47" s="62" t="s">
        <v>258</v>
      </c>
      <c r="E47" s="62" t="str">
        <f>INDEX('Media Plan'!$B$5:$B$12,MATCH(D47,'Media Plan'!$A$5:$A$12,0))</f>
        <v>Snapchat</v>
      </c>
      <c r="F47" s="62" t="str">
        <f>INDEX('Media Plan'!$D$5:$D$12,MATCH(D47,'Media Plan'!$A$5:$A$12,0))</f>
        <v>MOFU</v>
      </c>
      <c r="G47" s="63">
        <v>397</v>
      </c>
      <c r="H47" s="63">
        <v>15475</v>
      </c>
      <c r="I47" s="63">
        <v>90</v>
      </c>
      <c r="J47" s="63">
        <v>0</v>
      </c>
      <c r="K47" s="63">
        <v>0</v>
      </c>
      <c r="L47" s="63">
        <v>0</v>
      </c>
      <c r="M47" s="64">
        <f t="shared" si="1"/>
        <v>5.8158319870759293E-3</v>
      </c>
      <c r="N47" s="65">
        <f t="shared" si="2"/>
        <v>4.4111111111111114</v>
      </c>
      <c r="O47" s="66">
        <f t="shared" si="3"/>
        <v>25.65428109854604</v>
      </c>
      <c r="P47" s="64">
        <f t="shared" si="4"/>
        <v>0</v>
      </c>
      <c r="Q47" s="63" t="str">
        <f t="shared" si="5"/>
        <v>-</v>
      </c>
      <c r="R47" s="67">
        <f t="shared" si="6"/>
        <v>0</v>
      </c>
    </row>
    <row r="48" spans="1:18" x14ac:dyDescent="0.3">
      <c r="A48" s="61">
        <v>46332</v>
      </c>
      <c r="B48" s="62">
        <v>6</v>
      </c>
      <c r="C48" s="62">
        <f t="shared" si="0"/>
        <v>1</v>
      </c>
      <c r="D48" s="62" t="s">
        <v>266</v>
      </c>
      <c r="E48" s="62" t="str">
        <f>INDEX('Media Plan'!$B$5:$B$12,MATCH(D48,'Media Plan'!$A$5:$A$12,0))</f>
        <v>Meta</v>
      </c>
      <c r="F48" s="62" t="str">
        <f>INDEX('Media Plan'!$D$5:$D$12,MATCH(D48,'Media Plan'!$A$5:$A$12,0))</f>
        <v>MOFU</v>
      </c>
      <c r="G48" s="63">
        <v>1509</v>
      </c>
      <c r="H48" s="63">
        <v>27204</v>
      </c>
      <c r="I48" s="63">
        <v>354</v>
      </c>
      <c r="J48" s="63">
        <v>7</v>
      </c>
      <c r="K48" s="63">
        <v>2</v>
      </c>
      <c r="L48" s="63">
        <v>8890</v>
      </c>
      <c r="M48" s="64">
        <f t="shared" si="1"/>
        <v>1.3012792236435818E-2</v>
      </c>
      <c r="N48" s="65">
        <f t="shared" si="2"/>
        <v>4.2627118644067794</v>
      </c>
      <c r="O48" s="66">
        <f t="shared" si="3"/>
        <v>55.469783855315399</v>
      </c>
      <c r="P48" s="64">
        <f t="shared" si="4"/>
        <v>5.6497175141242938E-3</v>
      </c>
      <c r="Q48" s="63">
        <f t="shared" si="5"/>
        <v>754.5</v>
      </c>
      <c r="R48" s="67">
        <f t="shared" si="6"/>
        <v>5.8913187541418157</v>
      </c>
    </row>
    <row r="49" spans="1:18" x14ac:dyDescent="0.3">
      <c r="A49" s="61">
        <v>46332</v>
      </c>
      <c r="B49" s="62">
        <v>6</v>
      </c>
      <c r="C49" s="62">
        <f t="shared" si="0"/>
        <v>1</v>
      </c>
      <c r="D49" s="62" t="s">
        <v>275</v>
      </c>
      <c r="E49" s="62" t="str">
        <f>INDEX('Media Plan'!$B$5:$B$12,MATCH(D49,'Media Plan'!$A$5:$A$12,0))</f>
        <v>Google Search</v>
      </c>
      <c r="F49" s="62" t="str">
        <f>INDEX('Media Plan'!$D$5:$D$12,MATCH(D49,'Media Plan'!$A$5:$A$12,0))</f>
        <v>BOFU</v>
      </c>
      <c r="G49" s="63">
        <v>1778</v>
      </c>
      <c r="H49" s="63">
        <v>4638</v>
      </c>
      <c r="I49" s="63">
        <v>316</v>
      </c>
      <c r="J49" s="63">
        <v>16</v>
      </c>
      <c r="K49" s="63">
        <v>1</v>
      </c>
      <c r="L49" s="63">
        <v>3610</v>
      </c>
      <c r="M49" s="64">
        <f t="shared" si="1"/>
        <v>6.8132815868909014E-2</v>
      </c>
      <c r="N49" s="65">
        <f t="shared" si="2"/>
        <v>5.6265822784810124</v>
      </c>
      <c r="O49" s="66">
        <f t="shared" si="3"/>
        <v>383.3548943510134</v>
      </c>
      <c r="P49" s="64">
        <f t="shared" si="4"/>
        <v>3.1645569620253164E-3</v>
      </c>
      <c r="Q49" s="63">
        <f t="shared" si="5"/>
        <v>1778</v>
      </c>
      <c r="R49" s="67">
        <f t="shared" si="6"/>
        <v>2.0303712035995503</v>
      </c>
    </row>
    <row r="50" spans="1:18" x14ac:dyDescent="0.3">
      <c r="A50" s="61">
        <v>46332</v>
      </c>
      <c r="B50" s="62">
        <v>6</v>
      </c>
      <c r="C50" s="62">
        <f t="shared" si="0"/>
        <v>1</v>
      </c>
      <c r="D50" s="62" t="s">
        <v>282</v>
      </c>
      <c r="E50" s="62" t="str">
        <f>INDEX('Media Plan'!$B$5:$B$12,MATCH(D50,'Media Plan'!$A$5:$A$12,0))</f>
        <v>Google PMax</v>
      </c>
      <c r="F50" s="62" t="str">
        <f>INDEX('Media Plan'!$D$5:$D$12,MATCH(D50,'Media Plan'!$A$5:$A$12,0))</f>
        <v>BOFU</v>
      </c>
      <c r="G50" s="63">
        <v>1154</v>
      </c>
      <c r="H50" s="63">
        <v>16131</v>
      </c>
      <c r="I50" s="63">
        <v>228</v>
      </c>
      <c r="J50" s="63">
        <v>5</v>
      </c>
      <c r="K50" s="63">
        <v>2</v>
      </c>
      <c r="L50" s="63">
        <v>9360</v>
      </c>
      <c r="M50" s="64">
        <f t="shared" si="1"/>
        <v>1.4134275618374558E-2</v>
      </c>
      <c r="N50" s="65">
        <f t="shared" si="2"/>
        <v>5.0614035087719298</v>
      </c>
      <c r="O50" s="66">
        <f t="shared" si="3"/>
        <v>71.539272208790521</v>
      </c>
      <c r="P50" s="64">
        <f t="shared" si="4"/>
        <v>8.771929824561403E-3</v>
      </c>
      <c r="Q50" s="63">
        <f t="shared" si="5"/>
        <v>577</v>
      </c>
      <c r="R50" s="67">
        <f t="shared" si="6"/>
        <v>8.1109185441941083</v>
      </c>
    </row>
    <row r="51" spans="1:18" x14ac:dyDescent="0.3">
      <c r="A51" s="61">
        <v>46332</v>
      </c>
      <c r="B51" s="62">
        <v>6</v>
      </c>
      <c r="C51" s="62">
        <f t="shared" si="0"/>
        <v>1</v>
      </c>
      <c r="D51" s="62" t="s">
        <v>289</v>
      </c>
      <c r="E51" s="62" t="str">
        <f>INDEX('Media Plan'!$B$5:$B$12,MATCH(D51,'Media Plan'!$A$5:$A$12,0))</f>
        <v>Meta</v>
      </c>
      <c r="F51" s="62" t="str">
        <f>INDEX('Media Plan'!$D$5:$D$12,MATCH(D51,'Media Plan'!$A$5:$A$12,0))</f>
        <v>BOFU</v>
      </c>
      <c r="G51" s="63">
        <v>1371</v>
      </c>
      <c r="H51" s="63">
        <v>16050</v>
      </c>
      <c r="I51" s="63">
        <v>312</v>
      </c>
      <c r="J51" s="63">
        <v>12</v>
      </c>
      <c r="K51" s="63">
        <v>1</v>
      </c>
      <c r="L51" s="63">
        <v>4290</v>
      </c>
      <c r="M51" s="64">
        <f t="shared" si="1"/>
        <v>1.9439252336448599E-2</v>
      </c>
      <c r="N51" s="65">
        <f t="shared" si="2"/>
        <v>4.3942307692307692</v>
      </c>
      <c r="O51" s="66">
        <f t="shared" si="3"/>
        <v>85.420560747663544</v>
      </c>
      <c r="P51" s="64">
        <f t="shared" si="4"/>
        <v>3.205128205128205E-3</v>
      </c>
      <c r="Q51" s="63">
        <f t="shared" si="5"/>
        <v>1371</v>
      </c>
      <c r="R51" s="67">
        <f t="shared" si="6"/>
        <v>3.1291028446389495</v>
      </c>
    </row>
    <row r="52" spans="1:18" x14ac:dyDescent="0.3">
      <c r="A52" s="61">
        <v>46332</v>
      </c>
      <c r="B52" s="62">
        <v>6</v>
      </c>
      <c r="C52" s="62">
        <f t="shared" si="0"/>
        <v>1</v>
      </c>
      <c r="D52" s="62" t="s">
        <v>296</v>
      </c>
      <c r="E52" s="62" t="str">
        <f>INDEX('Media Plan'!$B$5:$B$12,MATCH(D52,'Media Plan'!$A$5:$A$12,0))</f>
        <v>Email + WhatsApp</v>
      </c>
      <c r="F52" s="62" t="str">
        <f>INDEX('Media Plan'!$D$5:$D$12,MATCH(D52,'Media Plan'!$A$5:$A$12,0))</f>
        <v>CARE</v>
      </c>
      <c r="G52" s="63">
        <v>457</v>
      </c>
      <c r="H52" s="63">
        <v>727</v>
      </c>
      <c r="I52" s="63">
        <v>63</v>
      </c>
      <c r="J52" s="63">
        <v>8</v>
      </c>
      <c r="K52" s="63">
        <v>1</v>
      </c>
      <c r="L52" s="63">
        <v>3830</v>
      </c>
      <c r="M52" s="64">
        <f t="shared" si="1"/>
        <v>8.6657496561210454E-2</v>
      </c>
      <c r="N52" s="65">
        <f t="shared" si="2"/>
        <v>7.253968253968254</v>
      </c>
      <c r="O52" s="66">
        <f t="shared" si="3"/>
        <v>628.61072902338378</v>
      </c>
      <c r="P52" s="64">
        <f t="shared" si="4"/>
        <v>1.5873015873015872E-2</v>
      </c>
      <c r="Q52" s="63">
        <f t="shared" si="5"/>
        <v>457</v>
      </c>
      <c r="R52" s="67">
        <f t="shared" si="6"/>
        <v>8.3807439824945291</v>
      </c>
    </row>
    <row r="53" spans="1:18" x14ac:dyDescent="0.3">
      <c r="A53" s="61">
        <v>46333</v>
      </c>
      <c r="B53" s="62">
        <v>7</v>
      </c>
      <c r="C53" s="62">
        <f t="shared" si="0"/>
        <v>1</v>
      </c>
      <c r="D53" s="62" t="s">
        <v>241</v>
      </c>
      <c r="E53" s="62" t="str">
        <f>INDEX('Media Plan'!$B$5:$B$12,MATCH(D53,'Media Plan'!$A$5:$A$12,0))</f>
        <v>TikTok</v>
      </c>
      <c r="F53" s="62" t="str">
        <f>INDEX('Media Plan'!$D$5:$D$12,MATCH(D53,'Media Plan'!$A$5:$A$12,0))</f>
        <v>TOFU</v>
      </c>
      <c r="G53" s="63">
        <v>1334</v>
      </c>
      <c r="H53" s="63">
        <v>41891</v>
      </c>
      <c r="I53" s="63">
        <v>246</v>
      </c>
      <c r="J53" s="63">
        <v>1</v>
      </c>
      <c r="K53" s="63">
        <v>0</v>
      </c>
      <c r="L53" s="63">
        <v>0</v>
      </c>
      <c r="M53" s="64">
        <f t="shared" si="1"/>
        <v>5.8723830894464209E-3</v>
      </c>
      <c r="N53" s="65">
        <f t="shared" si="2"/>
        <v>5.4227642276422765</v>
      </c>
      <c r="O53" s="66">
        <f t="shared" si="3"/>
        <v>31.844548948461483</v>
      </c>
      <c r="P53" s="64">
        <f t="shared" si="4"/>
        <v>0</v>
      </c>
      <c r="Q53" s="63" t="str">
        <f t="shared" si="5"/>
        <v>-</v>
      </c>
      <c r="R53" s="67">
        <f t="shared" si="6"/>
        <v>0</v>
      </c>
    </row>
    <row r="54" spans="1:18" x14ac:dyDescent="0.3">
      <c r="A54" s="61">
        <v>46333</v>
      </c>
      <c r="B54" s="62">
        <v>7</v>
      </c>
      <c r="C54" s="62">
        <f t="shared" si="0"/>
        <v>1</v>
      </c>
      <c r="D54" s="62" t="s">
        <v>250</v>
      </c>
      <c r="E54" s="62" t="str">
        <f>INDEX('Media Plan'!$B$5:$B$12,MATCH(D54,'Media Plan'!$A$5:$A$12,0))</f>
        <v>YouTube</v>
      </c>
      <c r="F54" s="62" t="str">
        <f>INDEX('Media Plan'!$D$5:$D$12,MATCH(D54,'Media Plan'!$A$5:$A$12,0))</f>
        <v>TOFU</v>
      </c>
      <c r="G54" s="63">
        <v>460</v>
      </c>
      <c r="H54" s="63">
        <v>9198</v>
      </c>
      <c r="I54" s="63">
        <v>28</v>
      </c>
      <c r="J54" s="63">
        <v>0</v>
      </c>
      <c r="K54" s="63">
        <v>0</v>
      </c>
      <c r="L54" s="63">
        <v>0</v>
      </c>
      <c r="M54" s="64">
        <f t="shared" si="1"/>
        <v>3.0441400304414001E-3</v>
      </c>
      <c r="N54" s="65">
        <f t="shared" si="2"/>
        <v>16.428571428571427</v>
      </c>
      <c r="O54" s="66">
        <f t="shared" si="3"/>
        <v>50.010871928680146</v>
      </c>
      <c r="P54" s="64">
        <f t="shared" si="4"/>
        <v>0</v>
      </c>
      <c r="Q54" s="63" t="str">
        <f t="shared" si="5"/>
        <v>-</v>
      </c>
      <c r="R54" s="67">
        <f t="shared" si="6"/>
        <v>0</v>
      </c>
    </row>
    <row r="55" spans="1:18" x14ac:dyDescent="0.3">
      <c r="A55" s="61">
        <v>46333</v>
      </c>
      <c r="B55" s="62">
        <v>7</v>
      </c>
      <c r="C55" s="62">
        <f t="shared" si="0"/>
        <v>1</v>
      </c>
      <c r="D55" s="62" t="s">
        <v>258</v>
      </c>
      <c r="E55" s="62" t="str">
        <f>INDEX('Media Plan'!$B$5:$B$12,MATCH(D55,'Media Plan'!$A$5:$A$12,0))</f>
        <v>Snapchat</v>
      </c>
      <c r="F55" s="62" t="str">
        <f>INDEX('Media Plan'!$D$5:$D$12,MATCH(D55,'Media Plan'!$A$5:$A$12,0))</f>
        <v>MOFU</v>
      </c>
      <c r="G55" s="63">
        <v>369</v>
      </c>
      <c r="H55" s="63">
        <v>14221</v>
      </c>
      <c r="I55" s="63">
        <v>72</v>
      </c>
      <c r="J55" s="63">
        <v>0</v>
      </c>
      <c r="K55" s="63">
        <v>0</v>
      </c>
      <c r="L55" s="63">
        <v>0</v>
      </c>
      <c r="M55" s="64">
        <f t="shared" si="1"/>
        <v>5.0629350959848114E-3</v>
      </c>
      <c r="N55" s="65">
        <f t="shared" si="2"/>
        <v>5.125</v>
      </c>
      <c r="O55" s="66">
        <f t="shared" si="3"/>
        <v>25.947542366922157</v>
      </c>
      <c r="P55" s="64">
        <f t="shared" si="4"/>
        <v>0</v>
      </c>
      <c r="Q55" s="63" t="str">
        <f t="shared" si="5"/>
        <v>-</v>
      </c>
      <c r="R55" s="67">
        <f t="shared" si="6"/>
        <v>0</v>
      </c>
    </row>
    <row r="56" spans="1:18" x14ac:dyDescent="0.3">
      <c r="A56" s="61">
        <v>46333</v>
      </c>
      <c r="B56" s="62">
        <v>7</v>
      </c>
      <c r="C56" s="62">
        <f t="shared" si="0"/>
        <v>1</v>
      </c>
      <c r="D56" s="62" t="s">
        <v>266</v>
      </c>
      <c r="E56" s="62" t="str">
        <f>INDEX('Media Plan'!$B$5:$B$12,MATCH(D56,'Media Plan'!$A$5:$A$12,0))</f>
        <v>Meta</v>
      </c>
      <c r="F56" s="62" t="str">
        <f>INDEX('Media Plan'!$D$5:$D$12,MATCH(D56,'Media Plan'!$A$5:$A$12,0))</f>
        <v>MOFU</v>
      </c>
      <c r="G56" s="63">
        <v>1812</v>
      </c>
      <c r="H56" s="63">
        <v>31384</v>
      </c>
      <c r="I56" s="63">
        <v>407</v>
      </c>
      <c r="J56" s="63">
        <v>9</v>
      </c>
      <c r="K56" s="63">
        <v>1</v>
      </c>
      <c r="L56" s="63">
        <v>5530</v>
      </c>
      <c r="M56" s="64">
        <f t="shared" si="1"/>
        <v>1.2968391537088963E-2</v>
      </c>
      <c r="N56" s="65">
        <f t="shared" si="2"/>
        <v>4.4520884520884518</v>
      </c>
      <c r="O56" s="66">
        <f t="shared" si="3"/>
        <v>57.736426204435382</v>
      </c>
      <c r="P56" s="64">
        <f t="shared" si="4"/>
        <v>2.4570024570024569E-3</v>
      </c>
      <c r="Q56" s="63">
        <f t="shared" si="5"/>
        <v>1812</v>
      </c>
      <c r="R56" s="67">
        <f t="shared" si="6"/>
        <v>3.0518763796909494</v>
      </c>
    </row>
    <row r="57" spans="1:18" x14ac:dyDescent="0.3">
      <c r="A57" s="61">
        <v>46333</v>
      </c>
      <c r="B57" s="62">
        <v>7</v>
      </c>
      <c r="C57" s="62">
        <f t="shared" si="0"/>
        <v>1</v>
      </c>
      <c r="D57" s="62" t="s">
        <v>275</v>
      </c>
      <c r="E57" s="62" t="str">
        <f>INDEX('Media Plan'!$B$5:$B$12,MATCH(D57,'Media Plan'!$A$5:$A$12,0))</f>
        <v>Google Search</v>
      </c>
      <c r="F57" s="62" t="str">
        <f>INDEX('Media Plan'!$D$5:$D$12,MATCH(D57,'Media Plan'!$A$5:$A$12,0))</f>
        <v>BOFU</v>
      </c>
      <c r="G57" s="63">
        <v>1778</v>
      </c>
      <c r="H57" s="63">
        <v>5168</v>
      </c>
      <c r="I57" s="63">
        <v>350</v>
      </c>
      <c r="J57" s="63">
        <v>16</v>
      </c>
      <c r="K57" s="63">
        <v>3</v>
      </c>
      <c r="L57" s="63">
        <v>13910</v>
      </c>
      <c r="M57" s="64">
        <f t="shared" si="1"/>
        <v>6.772445820433437E-2</v>
      </c>
      <c r="N57" s="65">
        <f t="shared" si="2"/>
        <v>5.08</v>
      </c>
      <c r="O57" s="66">
        <f t="shared" si="3"/>
        <v>344.04024767801855</v>
      </c>
      <c r="P57" s="64">
        <f t="shared" si="4"/>
        <v>8.5714285714285719E-3</v>
      </c>
      <c r="Q57" s="63">
        <f t="shared" si="5"/>
        <v>592.66666666666663</v>
      </c>
      <c r="R57" s="67">
        <f t="shared" si="6"/>
        <v>7.8233970753655795</v>
      </c>
    </row>
    <row r="58" spans="1:18" x14ac:dyDescent="0.3">
      <c r="A58" s="61">
        <v>46333</v>
      </c>
      <c r="B58" s="62">
        <v>7</v>
      </c>
      <c r="C58" s="62">
        <f t="shared" si="0"/>
        <v>1</v>
      </c>
      <c r="D58" s="62" t="s">
        <v>282</v>
      </c>
      <c r="E58" s="62" t="str">
        <f>INDEX('Media Plan'!$B$5:$B$12,MATCH(D58,'Media Plan'!$A$5:$A$12,0))</f>
        <v>Google PMax</v>
      </c>
      <c r="F58" s="62" t="str">
        <f>INDEX('Media Plan'!$D$5:$D$12,MATCH(D58,'Media Plan'!$A$5:$A$12,0))</f>
        <v>BOFU</v>
      </c>
      <c r="G58" s="63">
        <v>1205</v>
      </c>
      <c r="H58" s="63">
        <v>17844</v>
      </c>
      <c r="I58" s="63">
        <v>277</v>
      </c>
      <c r="J58" s="63">
        <v>8</v>
      </c>
      <c r="K58" s="63">
        <v>2</v>
      </c>
      <c r="L58" s="63">
        <v>9640</v>
      </c>
      <c r="M58" s="64">
        <f t="shared" si="1"/>
        <v>1.552342524097736E-2</v>
      </c>
      <c r="N58" s="65">
        <f t="shared" si="2"/>
        <v>4.3501805054151621</v>
      </c>
      <c r="O58" s="66">
        <f t="shared" si="3"/>
        <v>67.529701860569375</v>
      </c>
      <c r="P58" s="64">
        <f t="shared" si="4"/>
        <v>7.2202166064981952E-3</v>
      </c>
      <c r="Q58" s="63">
        <f t="shared" si="5"/>
        <v>602.5</v>
      </c>
      <c r="R58" s="67">
        <f t="shared" si="6"/>
        <v>8</v>
      </c>
    </row>
    <row r="59" spans="1:18" x14ac:dyDescent="0.3">
      <c r="A59" s="61">
        <v>46333</v>
      </c>
      <c r="B59" s="62">
        <v>7</v>
      </c>
      <c r="C59" s="62">
        <f t="shared" si="0"/>
        <v>1</v>
      </c>
      <c r="D59" s="62" t="s">
        <v>289</v>
      </c>
      <c r="E59" s="62" t="str">
        <f>INDEX('Media Plan'!$B$5:$B$12,MATCH(D59,'Media Plan'!$A$5:$A$12,0))</f>
        <v>Meta</v>
      </c>
      <c r="F59" s="62" t="str">
        <f>INDEX('Media Plan'!$D$5:$D$12,MATCH(D59,'Media Plan'!$A$5:$A$12,0))</f>
        <v>BOFU</v>
      </c>
      <c r="G59" s="63">
        <v>1154</v>
      </c>
      <c r="H59" s="63">
        <v>12552</v>
      </c>
      <c r="I59" s="63">
        <v>213</v>
      </c>
      <c r="J59" s="63">
        <v>9</v>
      </c>
      <c r="K59" s="63">
        <v>0</v>
      </c>
      <c r="L59" s="63">
        <v>0</v>
      </c>
      <c r="M59" s="64">
        <f t="shared" si="1"/>
        <v>1.6969407265774377E-2</v>
      </c>
      <c r="N59" s="65">
        <f t="shared" si="2"/>
        <v>5.4178403755868541</v>
      </c>
      <c r="O59" s="66">
        <f t="shared" si="3"/>
        <v>91.937539834289353</v>
      </c>
      <c r="P59" s="64">
        <f t="shared" si="4"/>
        <v>0</v>
      </c>
      <c r="Q59" s="63" t="str">
        <f t="shared" si="5"/>
        <v>-</v>
      </c>
      <c r="R59" s="67">
        <f t="shared" si="6"/>
        <v>0</v>
      </c>
    </row>
    <row r="60" spans="1:18" x14ac:dyDescent="0.3">
      <c r="A60" s="61">
        <v>46333</v>
      </c>
      <c r="B60" s="62">
        <v>7</v>
      </c>
      <c r="C60" s="62">
        <f t="shared" si="0"/>
        <v>1</v>
      </c>
      <c r="D60" s="62" t="s">
        <v>296</v>
      </c>
      <c r="E60" s="62" t="str">
        <f>INDEX('Media Plan'!$B$5:$B$12,MATCH(D60,'Media Plan'!$A$5:$A$12,0))</f>
        <v>Email + WhatsApp</v>
      </c>
      <c r="F60" s="62" t="str">
        <f>INDEX('Media Plan'!$D$5:$D$12,MATCH(D60,'Media Plan'!$A$5:$A$12,0))</f>
        <v>CARE</v>
      </c>
      <c r="G60" s="63">
        <v>440</v>
      </c>
      <c r="H60" s="63">
        <v>755</v>
      </c>
      <c r="I60" s="63">
        <v>62</v>
      </c>
      <c r="J60" s="63">
        <v>8</v>
      </c>
      <c r="K60" s="63">
        <v>1</v>
      </c>
      <c r="L60" s="63">
        <v>4170</v>
      </c>
      <c r="M60" s="64">
        <f t="shared" si="1"/>
        <v>8.211920529801324E-2</v>
      </c>
      <c r="N60" s="65">
        <f t="shared" si="2"/>
        <v>7.096774193548387</v>
      </c>
      <c r="O60" s="66">
        <f t="shared" si="3"/>
        <v>582.78145695364242</v>
      </c>
      <c r="P60" s="64">
        <f t="shared" si="4"/>
        <v>1.6129032258064516E-2</v>
      </c>
      <c r="Q60" s="63">
        <f t="shared" si="5"/>
        <v>440</v>
      </c>
      <c r="R60" s="67">
        <f t="shared" si="6"/>
        <v>9.4772727272727266</v>
      </c>
    </row>
    <row r="61" spans="1:18" x14ac:dyDescent="0.3">
      <c r="A61" s="61">
        <v>46334</v>
      </c>
      <c r="B61" s="62">
        <v>8</v>
      </c>
      <c r="C61" s="62">
        <f t="shared" si="0"/>
        <v>2</v>
      </c>
      <c r="D61" s="62" t="s">
        <v>241</v>
      </c>
      <c r="E61" s="62" t="str">
        <f>INDEX('Media Plan'!$B$5:$B$12,MATCH(D61,'Media Plan'!$A$5:$A$12,0))</f>
        <v>TikTok</v>
      </c>
      <c r="F61" s="62" t="str">
        <f>INDEX('Media Plan'!$D$5:$D$12,MATCH(D61,'Media Plan'!$A$5:$A$12,0))</f>
        <v>TOFU</v>
      </c>
      <c r="G61" s="63">
        <v>1313</v>
      </c>
      <c r="H61" s="63">
        <v>47558</v>
      </c>
      <c r="I61" s="63">
        <v>314</v>
      </c>
      <c r="J61" s="63">
        <v>2</v>
      </c>
      <c r="K61" s="63">
        <v>0</v>
      </c>
      <c r="L61" s="63">
        <v>0</v>
      </c>
      <c r="M61" s="64">
        <f t="shared" si="1"/>
        <v>6.6024643593086338E-3</v>
      </c>
      <c r="N61" s="65">
        <f t="shared" si="2"/>
        <v>4.1815286624203818</v>
      </c>
      <c r="O61" s="66">
        <f t="shared" si="3"/>
        <v>27.608393961058077</v>
      </c>
      <c r="P61" s="64">
        <f t="shared" si="4"/>
        <v>0</v>
      </c>
      <c r="Q61" s="63" t="str">
        <f t="shared" si="5"/>
        <v>-</v>
      </c>
      <c r="R61" s="67">
        <f t="shared" si="6"/>
        <v>0</v>
      </c>
    </row>
    <row r="62" spans="1:18" x14ac:dyDescent="0.3">
      <c r="A62" s="61">
        <v>46334</v>
      </c>
      <c r="B62" s="62">
        <v>8</v>
      </c>
      <c r="C62" s="62">
        <f t="shared" si="0"/>
        <v>2</v>
      </c>
      <c r="D62" s="62" t="s">
        <v>250</v>
      </c>
      <c r="E62" s="62" t="str">
        <f>INDEX('Media Plan'!$B$5:$B$12,MATCH(D62,'Media Plan'!$A$5:$A$12,0))</f>
        <v>YouTube</v>
      </c>
      <c r="F62" s="62" t="str">
        <f>INDEX('Media Plan'!$D$5:$D$12,MATCH(D62,'Media Plan'!$A$5:$A$12,0))</f>
        <v>TOFU</v>
      </c>
      <c r="G62" s="63">
        <v>441</v>
      </c>
      <c r="H62" s="63">
        <v>9085</v>
      </c>
      <c r="I62" s="63">
        <v>24</v>
      </c>
      <c r="J62" s="63">
        <v>0</v>
      </c>
      <c r="K62" s="63">
        <v>0</v>
      </c>
      <c r="L62" s="63">
        <v>0</v>
      </c>
      <c r="M62" s="64">
        <f t="shared" si="1"/>
        <v>2.6417171161254816E-3</v>
      </c>
      <c r="N62" s="65">
        <f t="shared" si="2"/>
        <v>18.375</v>
      </c>
      <c r="O62" s="66">
        <f t="shared" si="3"/>
        <v>48.541552008805724</v>
      </c>
      <c r="P62" s="64">
        <f t="shared" si="4"/>
        <v>0</v>
      </c>
      <c r="Q62" s="63" t="str">
        <f t="shared" si="5"/>
        <v>-</v>
      </c>
      <c r="R62" s="67">
        <f t="shared" si="6"/>
        <v>0</v>
      </c>
    </row>
    <row r="63" spans="1:18" x14ac:dyDescent="0.3">
      <c r="A63" s="61">
        <v>46334</v>
      </c>
      <c r="B63" s="62">
        <v>8</v>
      </c>
      <c r="C63" s="62">
        <f t="shared" si="0"/>
        <v>2</v>
      </c>
      <c r="D63" s="62" t="s">
        <v>258</v>
      </c>
      <c r="E63" s="62" t="str">
        <f>INDEX('Media Plan'!$B$5:$B$12,MATCH(D63,'Media Plan'!$A$5:$A$12,0))</f>
        <v>Snapchat</v>
      </c>
      <c r="F63" s="62" t="str">
        <f>INDEX('Media Plan'!$D$5:$D$12,MATCH(D63,'Media Plan'!$A$5:$A$12,0))</f>
        <v>MOFU</v>
      </c>
      <c r="G63" s="63">
        <v>400</v>
      </c>
      <c r="H63" s="63">
        <v>16490</v>
      </c>
      <c r="I63" s="63">
        <v>94</v>
      </c>
      <c r="J63" s="63">
        <v>0</v>
      </c>
      <c r="K63" s="63">
        <v>0</v>
      </c>
      <c r="L63" s="63">
        <v>0</v>
      </c>
      <c r="M63" s="64">
        <f t="shared" si="1"/>
        <v>5.7004244996967856E-3</v>
      </c>
      <c r="N63" s="65">
        <f t="shared" si="2"/>
        <v>4.2553191489361701</v>
      </c>
      <c r="O63" s="66">
        <f t="shared" si="3"/>
        <v>24.25712553062462</v>
      </c>
      <c r="P63" s="64">
        <f t="shared" si="4"/>
        <v>0</v>
      </c>
      <c r="Q63" s="63" t="str">
        <f t="shared" si="5"/>
        <v>-</v>
      </c>
      <c r="R63" s="67">
        <f t="shared" si="6"/>
        <v>0</v>
      </c>
    </row>
    <row r="64" spans="1:18" x14ac:dyDescent="0.3">
      <c r="A64" s="61">
        <v>46334</v>
      </c>
      <c r="B64" s="62">
        <v>8</v>
      </c>
      <c r="C64" s="62">
        <f t="shared" si="0"/>
        <v>2</v>
      </c>
      <c r="D64" s="62" t="s">
        <v>266</v>
      </c>
      <c r="E64" s="62" t="str">
        <f>INDEX('Media Plan'!$B$5:$B$12,MATCH(D64,'Media Plan'!$A$5:$A$12,0))</f>
        <v>Meta</v>
      </c>
      <c r="F64" s="62" t="str">
        <f>INDEX('Media Plan'!$D$5:$D$12,MATCH(D64,'Media Plan'!$A$5:$A$12,0))</f>
        <v>MOFU</v>
      </c>
      <c r="G64" s="63">
        <v>1590</v>
      </c>
      <c r="H64" s="63">
        <v>29339</v>
      </c>
      <c r="I64" s="63">
        <v>394</v>
      </c>
      <c r="J64" s="63">
        <v>7</v>
      </c>
      <c r="K64" s="63">
        <v>1</v>
      </c>
      <c r="L64" s="63">
        <v>5720</v>
      </c>
      <c r="M64" s="64">
        <f t="shared" si="1"/>
        <v>1.3429223899928422E-2</v>
      </c>
      <c r="N64" s="65">
        <f t="shared" si="2"/>
        <v>4.0355329949238579</v>
      </c>
      <c r="O64" s="66">
        <f t="shared" si="3"/>
        <v>54.194076144381199</v>
      </c>
      <c r="P64" s="64">
        <f t="shared" si="4"/>
        <v>2.5380710659898475E-3</v>
      </c>
      <c r="Q64" s="63">
        <f t="shared" si="5"/>
        <v>1590</v>
      </c>
      <c r="R64" s="67">
        <f t="shared" si="6"/>
        <v>3.5974842767295598</v>
      </c>
    </row>
    <row r="65" spans="1:18" x14ac:dyDescent="0.3">
      <c r="A65" s="61">
        <v>46334</v>
      </c>
      <c r="B65" s="62">
        <v>8</v>
      </c>
      <c r="C65" s="62">
        <f t="shared" si="0"/>
        <v>2</v>
      </c>
      <c r="D65" s="62" t="s">
        <v>275</v>
      </c>
      <c r="E65" s="62" t="str">
        <f>INDEX('Media Plan'!$B$5:$B$12,MATCH(D65,'Media Plan'!$A$5:$A$12,0))</f>
        <v>Google Search</v>
      </c>
      <c r="F65" s="62" t="str">
        <f>INDEX('Media Plan'!$D$5:$D$12,MATCH(D65,'Media Plan'!$A$5:$A$12,0))</f>
        <v>BOFU</v>
      </c>
      <c r="G65" s="63">
        <v>1778</v>
      </c>
      <c r="H65" s="63">
        <v>4802</v>
      </c>
      <c r="I65" s="63">
        <v>332</v>
      </c>
      <c r="J65" s="63">
        <v>17</v>
      </c>
      <c r="K65" s="63">
        <v>3</v>
      </c>
      <c r="L65" s="63">
        <v>14540</v>
      </c>
      <c r="M65" s="64">
        <f t="shared" si="1"/>
        <v>6.9137859225322784E-2</v>
      </c>
      <c r="N65" s="65">
        <f t="shared" si="2"/>
        <v>5.3554216867469879</v>
      </c>
      <c r="O65" s="66">
        <f t="shared" si="3"/>
        <v>370.26239067055394</v>
      </c>
      <c r="P65" s="64">
        <f t="shared" si="4"/>
        <v>9.0361445783132526E-3</v>
      </c>
      <c r="Q65" s="63">
        <f t="shared" si="5"/>
        <v>592.66666666666663</v>
      </c>
      <c r="R65" s="67">
        <f t="shared" si="6"/>
        <v>8.1777277840269971</v>
      </c>
    </row>
    <row r="66" spans="1:18" x14ac:dyDescent="0.3">
      <c r="A66" s="61">
        <v>46334</v>
      </c>
      <c r="B66" s="62">
        <v>8</v>
      </c>
      <c r="C66" s="62">
        <f t="shared" si="0"/>
        <v>2</v>
      </c>
      <c r="D66" s="62" t="s">
        <v>282</v>
      </c>
      <c r="E66" s="62" t="str">
        <f>INDEX('Media Plan'!$B$5:$B$12,MATCH(D66,'Media Plan'!$A$5:$A$12,0))</f>
        <v>Google PMax</v>
      </c>
      <c r="F66" s="62" t="str">
        <f>INDEX('Media Plan'!$D$5:$D$12,MATCH(D66,'Media Plan'!$A$5:$A$12,0))</f>
        <v>BOFU</v>
      </c>
      <c r="G66" s="63">
        <v>1074</v>
      </c>
      <c r="H66" s="63">
        <v>15486</v>
      </c>
      <c r="I66" s="63">
        <v>216</v>
      </c>
      <c r="J66" s="63">
        <v>5</v>
      </c>
      <c r="K66" s="63">
        <v>2</v>
      </c>
      <c r="L66" s="63">
        <v>8550</v>
      </c>
      <c r="M66" s="64">
        <f t="shared" si="1"/>
        <v>1.3948082138705927E-2</v>
      </c>
      <c r="N66" s="65">
        <f t="shared" si="2"/>
        <v>4.9722222222222223</v>
      </c>
      <c r="O66" s="66">
        <f t="shared" si="3"/>
        <v>69.352963967454485</v>
      </c>
      <c r="P66" s="64">
        <f t="shared" si="4"/>
        <v>9.2592592592592587E-3</v>
      </c>
      <c r="Q66" s="63">
        <f t="shared" si="5"/>
        <v>537</v>
      </c>
      <c r="R66" s="67">
        <f t="shared" si="6"/>
        <v>7.960893854748603</v>
      </c>
    </row>
    <row r="67" spans="1:18" x14ac:dyDescent="0.3">
      <c r="A67" s="61">
        <v>46334</v>
      </c>
      <c r="B67" s="62">
        <v>8</v>
      </c>
      <c r="C67" s="62">
        <f t="shared" si="0"/>
        <v>2</v>
      </c>
      <c r="D67" s="62" t="s">
        <v>289</v>
      </c>
      <c r="E67" s="62" t="str">
        <f>INDEX('Media Plan'!$B$5:$B$12,MATCH(D67,'Media Plan'!$A$5:$A$12,0))</f>
        <v>Meta</v>
      </c>
      <c r="F67" s="62" t="str">
        <f>INDEX('Media Plan'!$D$5:$D$12,MATCH(D67,'Media Plan'!$A$5:$A$12,0))</f>
        <v>BOFU</v>
      </c>
      <c r="G67" s="63">
        <v>1290</v>
      </c>
      <c r="H67" s="63">
        <v>15334</v>
      </c>
      <c r="I67" s="63">
        <v>297</v>
      </c>
      <c r="J67" s="63">
        <v>11</v>
      </c>
      <c r="K67" s="63">
        <v>3</v>
      </c>
      <c r="L67" s="63">
        <v>14330</v>
      </c>
      <c r="M67" s="64">
        <f t="shared" si="1"/>
        <v>1.9368723098995694E-2</v>
      </c>
      <c r="N67" s="65">
        <f t="shared" si="2"/>
        <v>4.3434343434343434</v>
      </c>
      <c r="O67" s="66">
        <f t="shared" si="3"/>
        <v>84.12677709664797</v>
      </c>
      <c r="P67" s="64">
        <f t="shared" si="4"/>
        <v>1.0101010101010102E-2</v>
      </c>
      <c r="Q67" s="63">
        <f t="shared" si="5"/>
        <v>430</v>
      </c>
      <c r="R67" s="67">
        <f t="shared" si="6"/>
        <v>11.108527131782946</v>
      </c>
    </row>
    <row r="68" spans="1:18" x14ac:dyDescent="0.3">
      <c r="A68" s="61">
        <v>46334</v>
      </c>
      <c r="B68" s="62">
        <v>8</v>
      </c>
      <c r="C68" s="62">
        <f t="shared" si="0"/>
        <v>2</v>
      </c>
      <c r="D68" s="62" t="s">
        <v>296</v>
      </c>
      <c r="E68" s="62" t="str">
        <f>INDEX('Media Plan'!$B$5:$B$12,MATCH(D68,'Media Plan'!$A$5:$A$12,0))</f>
        <v>Email + WhatsApp</v>
      </c>
      <c r="F68" s="62" t="str">
        <f>INDEX('Media Plan'!$D$5:$D$12,MATCH(D68,'Media Plan'!$A$5:$A$12,0))</f>
        <v>CARE</v>
      </c>
      <c r="G68" s="63">
        <v>374</v>
      </c>
      <c r="H68" s="63">
        <v>631</v>
      </c>
      <c r="I68" s="63">
        <v>52</v>
      </c>
      <c r="J68" s="63">
        <v>7</v>
      </c>
      <c r="K68" s="63">
        <v>0</v>
      </c>
      <c r="L68" s="63">
        <v>0</v>
      </c>
      <c r="M68" s="64">
        <f t="shared" si="1"/>
        <v>8.2408874801901746E-2</v>
      </c>
      <c r="N68" s="65">
        <f t="shared" si="2"/>
        <v>7.1923076923076925</v>
      </c>
      <c r="O68" s="66">
        <f t="shared" si="3"/>
        <v>592.70998415213944</v>
      </c>
      <c r="P68" s="64">
        <f t="shared" si="4"/>
        <v>0</v>
      </c>
      <c r="Q68" s="63" t="str">
        <f t="shared" si="5"/>
        <v>-</v>
      </c>
      <c r="R68" s="67">
        <f t="shared" si="6"/>
        <v>0</v>
      </c>
    </row>
    <row r="69" spans="1:18" x14ac:dyDescent="0.3">
      <c r="A69" s="61">
        <v>46335</v>
      </c>
      <c r="B69" s="62">
        <v>9</v>
      </c>
      <c r="C69" s="62">
        <f t="shared" ref="C69:C132" si="7">MIN(4,INT((B69-1)/7)+1)</f>
        <v>2</v>
      </c>
      <c r="D69" s="62" t="s">
        <v>241</v>
      </c>
      <c r="E69" s="62" t="str">
        <f>INDEX('Media Plan'!$B$5:$B$12,MATCH(D69,'Media Plan'!$A$5:$A$12,0))</f>
        <v>TikTok</v>
      </c>
      <c r="F69" s="62" t="str">
        <f>INDEX('Media Plan'!$D$5:$D$12,MATCH(D69,'Media Plan'!$A$5:$A$12,0))</f>
        <v>TOFU</v>
      </c>
      <c r="G69" s="63">
        <v>1248</v>
      </c>
      <c r="H69" s="63">
        <v>43376</v>
      </c>
      <c r="I69" s="63">
        <v>270</v>
      </c>
      <c r="J69" s="63">
        <v>2</v>
      </c>
      <c r="K69" s="63">
        <v>0</v>
      </c>
      <c r="L69" s="63">
        <v>0</v>
      </c>
      <c r="M69" s="64">
        <f t="shared" ref="M69:M132" si="8">IFERROR(I69/H69,0)</f>
        <v>6.2246403541128736E-3</v>
      </c>
      <c r="N69" s="65">
        <f t="shared" ref="N69:N132" si="9">IFERROR(G69/I69,0)</f>
        <v>4.6222222222222218</v>
      </c>
      <c r="O69" s="66">
        <f t="shared" ref="O69:O132" si="10">IFERROR(G69/H69*1000,0)</f>
        <v>28.771670970121725</v>
      </c>
      <c r="P69" s="64">
        <f t="shared" ref="P69:P132" si="11">IFERROR(K69/I69,0)</f>
        <v>0</v>
      </c>
      <c r="Q69" s="63" t="str">
        <f t="shared" ref="Q69:Q132" si="12">IFERROR(G69/K69,"-")</f>
        <v>-</v>
      </c>
      <c r="R69" s="67">
        <f t="shared" ref="R69:R132" si="13">IFERROR(L69/G69,0)</f>
        <v>0</v>
      </c>
    </row>
    <row r="70" spans="1:18" x14ac:dyDescent="0.3">
      <c r="A70" s="61">
        <v>46335</v>
      </c>
      <c r="B70" s="62">
        <v>9</v>
      </c>
      <c r="C70" s="62">
        <f t="shared" si="7"/>
        <v>2</v>
      </c>
      <c r="D70" s="62" t="s">
        <v>250</v>
      </c>
      <c r="E70" s="62" t="str">
        <f>INDEX('Media Plan'!$B$5:$B$12,MATCH(D70,'Media Plan'!$A$5:$A$12,0))</f>
        <v>YouTube</v>
      </c>
      <c r="F70" s="62" t="str">
        <f>INDEX('Media Plan'!$D$5:$D$12,MATCH(D70,'Media Plan'!$A$5:$A$12,0))</f>
        <v>TOFU</v>
      </c>
      <c r="G70" s="63">
        <v>444</v>
      </c>
      <c r="H70" s="63">
        <v>10028</v>
      </c>
      <c r="I70" s="63">
        <v>27</v>
      </c>
      <c r="J70" s="63">
        <v>0</v>
      </c>
      <c r="K70" s="63">
        <v>0</v>
      </c>
      <c r="L70" s="63">
        <v>0</v>
      </c>
      <c r="M70" s="64">
        <f t="shared" si="8"/>
        <v>2.6924611088950936E-3</v>
      </c>
      <c r="N70" s="65">
        <f t="shared" si="9"/>
        <v>16.444444444444443</v>
      </c>
      <c r="O70" s="66">
        <f t="shared" si="10"/>
        <v>44.276027124052654</v>
      </c>
      <c r="P70" s="64">
        <f t="shared" si="11"/>
        <v>0</v>
      </c>
      <c r="Q70" s="63" t="str">
        <f t="shared" si="12"/>
        <v>-</v>
      </c>
      <c r="R70" s="67">
        <f t="shared" si="13"/>
        <v>0</v>
      </c>
    </row>
    <row r="71" spans="1:18" x14ac:dyDescent="0.3">
      <c r="A71" s="61">
        <v>46335</v>
      </c>
      <c r="B71" s="62">
        <v>9</v>
      </c>
      <c r="C71" s="62">
        <f t="shared" si="7"/>
        <v>2</v>
      </c>
      <c r="D71" s="62" t="s">
        <v>258</v>
      </c>
      <c r="E71" s="62" t="str">
        <f>INDEX('Media Plan'!$B$5:$B$12,MATCH(D71,'Media Plan'!$A$5:$A$12,0))</f>
        <v>Snapchat</v>
      </c>
      <c r="F71" s="62" t="str">
        <f>INDEX('Media Plan'!$D$5:$D$12,MATCH(D71,'Media Plan'!$A$5:$A$12,0))</f>
        <v>MOFU</v>
      </c>
      <c r="G71" s="63">
        <v>418</v>
      </c>
      <c r="H71" s="63">
        <v>18016</v>
      </c>
      <c r="I71" s="63">
        <v>89</v>
      </c>
      <c r="J71" s="63">
        <v>0</v>
      </c>
      <c r="K71" s="63">
        <v>0</v>
      </c>
      <c r="L71" s="63">
        <v>0</v>
      </c>
      <c r="M71" s="64">
        <f t="shared" si="8"/>
        <v>4.9400532859680286E-3</v>
      </c>
      <c r="N71" s="65">
        <f t="shared" si="9"/>
        <v>4.6966292134831464</v>
      </c>
      <c r="O71" s="66">
        <f t="shared" si="10"/>
        <v>23.201598579040855</v>
      </c>
      <c r="P71" s="64">
        <f t="shared" si="11"/>
        <v>0</v>
      </c>
      <c r="Q71" s="63" t="str">
        <f t="shared" si="12"/>
        <v>-</v>
      </c>
      <c r="R71" s="67">
        <f t="shared" si="13"/>
        <v>0</v>
      </c>
    </row>
    <row r="72" spans="1:18" x14ac:dyDescent="0.3">
      <c r="A72" s="61">
        <v>46335</v>
      </c>
      <c r="B72" s="62">
        <v>9</v>
      </c>
      <c r="C72" s="62">
        <f t="shared" si="7"/>
        <v>2</v>
      </c>
      <c r="D72" s="62" t="s">
        <v>266</v>
      </c>
      <c r="E72" s="62" t="str">
        <f>INDEX('Media Plan'!$B$5:$B$12,MATCH(D72,'Media Plan'!$A$5:$A$12,0))</f>
        <v>Meta</v>
      </c>
      <c r="F72" s="62" t="str">
        <f>INDEX('Media Plan'!$D$5:$D$12,MATCH(D72,'Media Plan'!$A$5:$A$12,0))</f>
        <v>MOFU</v>
      </c>
      <c r="G72" s="63">
        <v>1787</v>
      </c>
      <c r="H72" s="63">
        <v>31642</v>
      </c>
      <c r="I72" s="63">
        <v>486</v>
      </c>
      <c r="J72" s="63">
        <v>10</v>
      </c>
      <c r="K72" s="63">
        <v>5</v>
      </c>
      <c r="L72" s="63">
        <v>24570</v>
      </c>
      <c r="M72" s="64">
        <f t="shared" si="8"/>
        <v>1.535933253270969E-2</v>
      </c>
      <c r="N72" s="65">
        <f t="shared" si="9"/>
        <v>3.6769547325102883</v>
      </c>
      <c r="O72" s="66">
        <f t="shared" si="10"/>
        <v>56.475570444346125</v>
      </c>
      <c r="P72" s="64">
        <f t="shared" si="11"/>
        <v>1.0288065843621399E-2</v>
      </c>
      <c r="Q72" s="63">
        <f t="shared" si="12"/>
        <v>357.4</v>
      </c>
      <c r="R72" s="67">
        <f t="shared" si="13"/>
        <v>13.749300503637381</v>
      </c>
    </row>
    <row r="73" spans="1:18" x14ac:dyDescent="0.3">
      <c r="A73" s="61">
        <v>46335</v>
      </c>
      <c r="B73" s="62">
        <v>9</v>
      </c>
      <c r="C73" s="62">
        <f t="shared" si="7"/>
        <v>2</v>
      </c>
      <c r="D73" s="62" t="s">
        <v>275</v>
      </c>
      <c r="E73" s="62" t="str">
        <f>INDEX('Media Plan'!$B$5:$B$12,MATCH(D73,'Media Plan'!$A$5:$A$12,0))</f>
        <v>Google Search</v>
      </c>
      <c r="F73" s="62" t="str">
        <f>INDEX('Media Plan'!$D$5:$D$12,MATCH(D73,'Media Plan'!$A$5:$A$12,0))</f>
        <v>BOFU</v>
      </c>
      <c r="G73" s="63">
        <v>1778</v>
      </c>
      <c r="H73" s="63">
        <v>5147</v>
      </c>
      <c r="I73" s="63">
        <v>335</v>
      </c>
      <c r="J73" s="63">
        <v>17</v>
      </c>
      <c r="K73" s="63">
        <v>4</v>
      </c>
      <c r="L73" s="63">
        <v>17260</v>
      </c>
      <c r="M73" s="64">
        <f t="shared" si="8"/>
        <v>6.508645813095007E-2</v>
      </c>
      <c r="N73" s="65">
        <f t="shared" si="9"/>
        <v>5.3074626865671641</v>
      </c>
      <c r="O73" s="66">
        <f t="shared" si="10"/>
        <v>345.44394793083347</v>
      </c>
      <c r="P73" s="64">
        <f t="shared" si="11"/>
        <v>1.1940298507462687E-2</v>
      </c>
      <c r="Q73" s="63">
        <f t="shared" si="12"/>
        <v>444.5</v>
      </c>
      <c r="R73" s="67">
        <f t="shared" si="13"/>
        <v>9.7075365579302595</v>
      </c>
    </row>
    <row r="74" spans="1:18" x14ac:dyDescent="0.3">
      <c r="A74" s="61">
        <v>46335</v>
      </c>
      <c r="B74" s="62">
        <v>9</v>
      </c>
      <c r="C74" s="62">
        <f t="shared" si="7"/>
        <v>2</v>
      </c>
      <c r="D74" s="62" t="s">
        <v>282</v>
      </c>
      <c r="E74" s="62" t="str">
        <f>INDEX('Media Plan'!$B$5:$B$12,MATCH(D74,'Media Plan'!$A$5:$A$12,0))</f>
        <v>Google PMax</v>
      </c>
      <c r="F74" s="62" t="str">
        <f>INDEX('Media Plan'!$D$5:$D$12,MATCH(D74,'Media Plan'!$A$5:$A$12,0))</f>
        <v>BOFU</v>
      </c>
      <c r="G74" s="63">
        <v>1013</v>
      </c>
      <c r="H74" s="63">
        <v>14035</v>
      </c>
      <c r="I74" s="63">
        <v>221</v>
      </c>
      <c r="J74" s="63">
        <v>5</v>
      </c>
      <c r="K74" s="63">
        <v>0</v>
      </c>
      <c r="L74" s="63">
        <v>0</v>
      </c>
      <c r="M74" s="64">
        <f t="shared" si="8"/>
        <v>1.5746348414677591E-2</v>
      </c>
      <c r="N74" s="65">
        <f t="shared" si="9"/>
        <v>4.5837104072398187</v>
      </c>
      <c r="O74" s="66">
        <f t="shared" si="10"/>
        <v>72.176701104381905</v>
      </c>
      <c r="P74" s="64">
        <f t="shared" si="11"/>
        <v>0</v>
      </c>
      <c r="Q74" s="63" t="str">
        <f t="shared" si="12"/>
        <v>-</v>
      </c>
      <c r="R74" s="67">
        <f t="shared" si="13"/>
        <v>0</v>
      </c>
    </row>
    <row r="75" spans="1:18" x14ac:dyDescent="0.3">
      <c r="A75" s="61">
        <v>46335</v>
      </c>
      <c r="B75" s="62">
        <v>9</v>
      </c>
      <c r="C75" s="62">
        <f t="shared" si="7"/>
        <v>2</v>
      </c>
      <c r="D75" s="62" t="s">
        <v>289</v>
      </c>
      <c r="E75" s="62" t="str">
        <f>INDEX('Media Plan'!$B$5:$B$12,MATCH(D75,'Media Plan'!$A$5:$A$12,0))</f>
        <v>Meta</v>
      </c>
      <c r="F75" s="62" t="str">
        <f>INDEX('Media Plan'!$D$5:$D$12,MATCH(D75,'Media Plan'!$A$5:$A$12,0))</f>
        <v>BOFU</v>
      </c>
      <c r="G75" s="63">
        <v>1263</v>
      </c>
      <c r="H75" s="63">
        <v>14681</v>
      </c>
      <c r="I75" s="63">
        <v>246</v>
      </c>
      <c r="J75" s="63">
        <v>12</v>
      </c>
      <c r="K75" s="63">
        <v>3</v>
      </c>
      <c r="L75" s="63">
        <v>13390</v>
      </c>
      <c r="M75" s="64">
        <f t="shared" si="8"/>
        <v>1.6756351747156187E-2</v>
      </c>
      <c r="N75" s="65">
        <f t="shared" si="9"/>
        <v>5.1341463414634143</v>
      </c>
      <c r="O75" s="66">
        <f t="shared" si="10"/>
        <v>86.029562018936033</v>
      </c>
      <c r="P75" s="64">
        <f t="shared" si="11"/>
        <v>1.2195121951219513E-2</v>
      </c>
      <c r="Q75" s="63">
        <f t="shared" si="12"/>
        <v>421</v>
      </c>
      <c r="R75" s="67">
        <f t="shared" si="13"/>
        <v>10.601741884402218</v>
      </c>
    </row>
    <row r="76" spans="1:18" x14ac:dyDescent="0.3">
      <c r="A76" s="61">
        <v>46335</v>
      </c>
      <c r="B76" s="62">
        <v>9</v>
      </c>
      <c r="C76" s="62">
        <f t="shared" si="7"/>
        <v>2</v>
      </c>
      <c r="D76" s="62" t="s">
        <v>296</v>
      </c>
      <c r="E76" s="62" t="str">
        <f>INDEX('Media Plan'!$B$5:$B$12,MATCH(D76,'Media Plan'!$A$5:$A$12,0))</f>
        <v>Email + WhatsApp</v>
      </c>
      <c r="F76" s="62" t="str">
        <f>INDEX('Media Plan'!$D$5:$D$12,MATCH(D76,'Media Plan'!$A$5:$A$12,0))</f>
        <v>CARE</v>
      </c>
      <c r="G76" s="63">
        <v>402</v>
      </c>
      <c r="H76" s="63">
        <v>643</v>
      </c>
      <c r="I76" s="63">
        <v>56</v>
      </c>
      <c r="J76" s="63">
        <v>8</v>
      </c>
      <c r="K76" s="63">
        <v>3</v>
      </c>
      <c r="L76" s="63">
        <v>12770</v>
      </c>
      <c r="M76" s="64">
        <f t="shared" si="8"/>
        <v>8.7091757387247282E-2</v>
      </c>
      <c r="N76" s="65">
        <f t="shared" si="9"/>
        <v>7.1785714285714288</v>
      </c>
      <c r="O76" s="66">
        <f t="shared" si="10"/>
        <v>625.19440124416792</v>
      </c>
      <c r="P76" s="64">
        <f t="shared" si="11"/>
        <v>5.3571428571428568E-2</v>
      </c>
      <c r="Q76" s="63">
        <f t="shared" si="12"/>
        <v>134</v>
      </c>
      <c r="R76" s="67">
        <f t="shared" si="13"/>
        <v>31.766169154228855</v>
      </c>
    </row>
    <row r="77" spans="1:18" x14ac:dyDescent="0.3">
      <c r="A77" s="61">
        <v>46336</v>
      </c>
      <c r="B77" s="62">
        <v>10</v>
      </c>
      <c r="C77" s="62">
        <f t="shared" si="7"/>
        <v>2</v>
      </c>
      <c r="D77" s="62" t="s">
        <v>241</v>
      </c>
      <c r="E77" s="62" t="str">
        <f>INDEX('Media Plan'!$B$5:$B$12,MATCH(D77,'Media Plan'!$A$5:$A$12,0))</f>
        <v>TikTok</v>
      </c>
      <c r="F77" s="62" t="str">
        <f>INDEX('Media Plan'!$D$5:$D$12,MATCH(D77,'Media Plan'!$A$5:$A$12,0))</f>
        <v>TOFU</v>
      </c>
      <c r="G77" s="63">
        <v>1109</v>
      </c>
      <c r="H77" s="63">
        <v>37962</v>
      </c>
      <c r="I77" s="63">
        <v>238</v>
      </c>
      <c r="J77" s="63">
        <v>1</v>
      </c>
      <c r="K77" s="63">
        <v>0</v>
      </c>
      <c r="L77" s="63">
        <v>0</v>
      </c>
      <c r="M77" s="64">
        <f t="shared" si="8"/>
        <v>6.2694273220589014E-3</v>
      </c>
      <c r="N77" s="65">
        <f t="shared" si="9"/>
        <v>4.6596638655462188</v>
      </c>
      <c r="O77" s="66">
        <f t="shared" si="10"/>
        <v>29.213423950266055</v>
      </c>
      <c r="P77" s="64">
        <f t="shared" si="11"/>
        <v>0</v>
      </c>
      <c r="Q77" s="63" t="str">
        <f t="shared" si="12"/>
        <v>-</v>
      </c>
      <c r="R77" s="67">
        <f t="shared" si="13"/>
        <v>0</v>
      </c>
    </row>
    <row r="78" spans="1:18" x14ac:dyDescent="0.3">
      <c r="A78" s="61">
        <v>46336</v>
      </c>
      <c r="B78" s="62">
        <v>10</v>
      </c>
      <c r="C78" s="62">
        <f t="shared" si="7"/>
        <v>2</v>
      </c>
      <c r="D78" s="62" t="s">
        <v>250</v>
      </c>
      <c r="E78" s="62" t="str">
        <f>INDEX('Media Plan'!$B$5:$B$12,MATCH(D78,'Media Plan'!$A$5:$A$12,0))</f>
        <v>YouTube</v>
      </c>
      <c r="F78" s="62" t="str">
        <f>INDEX('Media Plan'!$D$5:$D$12,MATCH(D78,'Media Plan'!$A$5:$A$12,0))</f>
        <v>TOFU</v>
      </c>
      <c r="G78" s="63">
        <v>413</v>
      </c>
      <c r="H78" s="63">
        <v>9294</v>
      </c>
      <c r="I78" s="63">
        <v>26</v>
      </c>
      <c r="J78" s="63">
        <v>0</v>
      </c>
      <c r="K78" s="63">
        <v>0</v>
      </c>
      <c r="L78" s="63">
        <v>0</v>
      </c>
      <c r="M78" s="64">
        <f t="shared" si="8"/>
        <v>2.7975037658704541E-3</v>
      </c>
      <c r="N78" s="65">
        <f t="shared" si="9"/>
        <v>15.884615384615385</v>
      </c>
      <c r="O78" s="66">
        <f t="shared" si="10"/>
        <v>44.437271357865285</v>
      </c>
      <c r="P78" s="64">
        <f t="shared" si="11"/>
        <v>0</v>
      </c>
      <c r="Q78" s="63" t="str">
        <f t="shared" si="12"/>
        <v>-</v>
      </c>
      <c r="R78" s="67">
        <f t="shared" si="13"/>
        <v>0</v>
      </c>
    </row>
    <row r="79" spans="1:18" x14ac:dyDescent="0.3">
      <c r="A79" s="61">
        <v>46336</v>
      </c>
      <c r="B79" s="62">
        <v>10</v>
      </c>
      <c r="C79" s="62">
        <f t="shared" si="7"/>
        <v>2</v>
      </c>
      <c r="D79" s="62" t="s">
        <v>258</v>
      </c>
      <c r="E79" s="62" t="str">
        <f>INDEX('Media Plan'!$B$5:$B$12,MATCH(D79,'Media Plan'!$A$5:$A$12,0))</f>
        <v>Snapchat</v>
      </c>
      <c r="F79" s="62" t="str">
        <f>INDEX('Media Plan'!$D$5:$D$12,MATCH(D79,'Media Plan'!$A$5:$A$12,0))</f>
        <v>MOFU</v>
      </c>
      <c r="G79" s="63">
        <v>423</v>
      </c>
      <c r="H79" s="63">
        <v>18305</v>
      </c>
      <c r="I79" s="63">
        <v>99</v>
      </c>
      <c r="J79" s="63">
        <v>0</v>
      </c>
      <c r="K79" s="63">
        <v>0</v>
      </c>
      <c r="L79" s="63">
        <v>0</v>
      </c>
      <c r="M79" s="64">
        <f t="shared" si="8"/>
        <v>5.4083583720295004E-3</v>
      </c>
      <c r="N79" s="65">
        <f t="shared" si="9"/>
        <v>4.2727272727272725</v>
      </c>
      <c r="O79" s="66">
        <f t="shared" si="10"/>
        <v>23.108440316853319</v>
      </c>
      <c r="P79" s="64">
        <f t="shared" si="11"/>
        <v>0</v>
      </c>
      <c r="Q79" s="63" t="str">
        <f t="shared" si="12"/>
        <v>-</v>
      </c>
      <c r="R79" s="67">
        <f t="shared" si="13"/>
        <v>0</v>
      </c>
    </row>
    <row r="80" spans="1:18" x14ac:dyDescent="0.3">
      <c r="A80" s="61">
        <v>46336</v>
      </c>
      <c r="B80" s="62">
        <v>10</v>
      </c>
      <c r="C80" s="62">
        <f t="shared" si="7"/>
        <v>2</v>
      </c>
      <c r="D80" s="62" t="s">
        <v>266</v>
      </c>
      <c r="E80" s="62" t="str">
        <f>INDEX('Media Plan'!$B$5:$B$12,MATCH(D80,'Media Plan'!$A$5:$A$12,0))</f>
        <v>Meta</v>
      </c>
      <c r="F80" s="62" t="str">
        <f>INDEX('Media Plan'!$D$5:$D$12,MATCH(D80,'Media Plan'!$A$5:$A$12,0))</f>
        <v>MOFU</v>
      </c>
      <c r="G80" s="63">
        <v>1487</v>
      </c>
      <c r="H80" s="63">
        <v>27569</v>
      </c>
      <c r="I80" s="63">
        <v>353</v>
      </c>
      <c r="J80" s="63">
        <v>7</v>
      </c>
      <c r="K80" s="63">
        <v>0</v>
      </c>
      <c r="L80" s="63">
        <v>0</v>
      </c>
      <c r="M80" s="64">
        <f t="shared" si="8"/>
        <v>1.2804236642605825E-2</v>
      </c>
      <c r="N80" s="65">
        <f t="shared" si="9"/>
        <v>4.2124645892351271</v>
      </c>
      <c r="O80" s="66">
        <f t="shared" si="10"/>
        <v>53.937393449163913</v>
      </c>
      <c r="P80" s="64">
        <f t="shared" si="11"/>
        <v>0</v>
      </c>
      <c r="Q80" s="63" t="str">
        <f t="shared" si="12"/>
        <v>-</v>
      </c>
      <c r="R80" s="67">
        <f t="shared" si="13"/>
        <v>0</v>
      </c>
    </row>
    <row r="81" spans="1:18" x14ac:dyDescent="0.3">
      <c r="A81" s="61">
        <v>46336</v>
      </c>
      <c r="B81" s="62">
        <v>10</v>
      </c>
      <c r="C81" s="62">
        <f t="shared" si="7"/>
        <v>2</v>
      </c>
      <c r="D81" s="62" t="s">
        <v>275</v>
      </c>
      <c r="E81" s="62" t="str">
        <f>INDEX('Media Plan'!$B$5:$B$12,MATCH(D81,'Media Plan'!$A$5:$A$12,0))</f>
        <v>Google Search</v>
      </c>
      <c r="F81" s="62" t="str">
        <f>INDEX('Media Plan'!$D$5:$D$12,MATCH(D81,'Media Plan'!$A$5:$A$12,0))</f>
        <v>BOFU</v>
      </c>
      <c r="G81" s="63">
        <v>1778</v>
      </c>
      <c r="H81" s="63">
        <v>5036</v>
      </c>
      <c r="I81" s="63">
        <v>336</v>
      </c>
      <c r="J81" s="63">
        <v>15</v>
      </c>
      <c r="K81" s="63">
        <v>2</v>
      </c>
      <c r="L81" s="63">
        <v>10660</v>
      </c>
      <c r="M81" s="64">
        <f t="shared" si="8"/>
        <v>6.6719618745035736E-2</v>
      </c>
      <c r="N81" s="65">
        <f t="shared" si="9"/>
        <v>5.291666666666667</v>
      </c>
      <c r="O81" s="66">
        <f t="shared" si="10"/>
        <v>353.05798252581417</v>
      </c>
      <c r="P81" s="64">
        <f t="shared" si="11"/>
        <v>5.9523809523809521E-3</v>
      </c>
      <c r="Q81" s="63">
        <f t="shared" si="12"/>
        <v>889</v>
      </c>
      <c r="R81" s="67">
        <f t="shared" si="13"/>
        <v>5.9955005624296964</v>
      </c>
    </row>
    <row r="82" spans="1:18" x14ac:dyDescent="0.3">
      <c r="A82" s="61">
        <v>46336</v>
      </c>
      <c r="B82" s="62">
        <v>10</v>
      </c>
      <c r="C82" s="62">
        <f t="shared" si="7"/>
        <v>2</v>
      </c>
      <c r="D82" s="62" t="s">
        <v>282</v>
      </c>
      <c r="E82" s="62" t="str">
        <f>INDEX('Media Plan'!$B$5:$B$12,MATCH(D82,'Media Plan'!$A$5:$A$12,0))</f>
        <v>Google PMax</v>
      </c>
      <c r="F82" s="62" t="str">
        <f>INDEX('Media Plan'!$D$5:$D$12,MATCH(D82,'Media Plan'!$A$5:$A$12,0))</f>
        <v>BOFU</v>
      </c>
      <c r="G82" s="63">
        <v>1044</v>
      </c>
      <c r="H82" s="63">
        <v>14564</v>
      </c>
      <c r="I82" s="63">
        <v>233</v>
      </c>
      <c r="J82" s="63">
        <v>5</v>
      </c>
      <c r="K82" s="63">
        <v>3</v>
      </c>
      <c r="L82" s="63">
        <v>12930</v>
      </c>
      <c r="M82" s="64">
        <f t="shared" si="8"/>
        <v>1.5998352101071135E-2</v>
      </c>
      <c r="N82" s="65">
        <f t="shared" si="9"/>
        <v>4.4806866952789699</v>
      </c>
      <c r="O82" s="66">
        <f t="shared" si="10"/>
        <v>71.683603405657777</v>
      </c>
      <c r="P82" s="64">
        <f t="shared" si="11"/>
        <v>1.2875536480686695E-2</v>
      </c>
      <c r="Q82" s="63">
        <f t="shared" si="12"/>
        <v>348</v>
      </c>
      <c r="R82" s="67">
        <f t="shared" si="13"/>
        <v>12.385057471264368</v>
      </c>
    </row>
    <row r="83" spans="1:18" x14ac:dyDescent="0.3">
      <c r="A83" s="61">
        <v>46336</v>
      </c>
      <c r="B83" s="62">
        <v>10</v>
      </c>
      <c r="C83" s="62">
        <f t="shared" si="7"/>
        <v>2</v>
      </c>
      <c r="D83" s="62" t="s">
        <v>289</v>
      </c>
      <c r="E83" s="62" t="str">
        <f>INDEX('Media Plan'!$B$5:$B$12,MATCH(D83,'Media Plan'!$A$5:$A$12,0))</f>
        <v>Meta</v>
      </c>
      <c r="F83" s="62" t="str">
        <f>INDEX('Media Plan'!$D$5:$D$12,MATCH(D83,'Media Plan'!$A$5:$A$12,0))</f>
        <v>BOFU</v>
      </c>
      <c r="G83" s="63">
        <v>1269</v>
      </c>
      <c r="H83" s="63">
        <v>15101</v>
      </c>
      <c r="I83" s="63">
        <v>285</v>
      </c>
      <c r="J83" s="63">
        <v>14</v>
      </c>
      <c r="K83" s="63">
        <v>2</v>
      </c>
      <c r="L83" s="63">
        <v>9300</v>
      </c>
      <c r="M83" s="64">
        <f t="shared" si="8"/>
        <v>1.8872922323024965E-2</v>
      </c>
      <c r="N83" s="65">
        <f t="shared" si="9"/>
        <v>4.4526315789473685</v>
      </c>
      <c r="O83" s="66">
        <f t="shared" si="10"/>
        <v>84.034169922521684</v>
      </c>
      <c r="P83" s="64">
        <f t="shared" si="11"/>
        <v>7.0175438596491229E-3</v>
      </c>
      <c r="Q83" s="63">
        <f t="shared" si="12"/>
        <v>634.5</v>
      </c>
      <c r="R83" s="67">
        <f t="shared" si="13"/>
        <v>7.3286052009456268</v>
      </c>
    </row>
    <row r="84" spans="1:18" x14ac:dyDescent="0.3">
      <c r="A84" s="61">
        <v>46336</v>
      </c>
      <c r="B84" s="62">
        <v>10</v>
      </c>
      <c r="C84" s="62">
        <f t="shared" si="7"/>
        <v>2</v>
      </c>
      <c r="D84" s="62" t="s">
        <v>296</v>
      </c>
      <c r="E84" s="62" t="str">
        <f>INDEX('Media Plan'!$B$5:$B$12,MATCH(D84,'Media Plan'!$A$5:$A$12,0))</f>
        <v>Email + WhatsApp</v>
      </c>
      <c r="F84" s="62" t="str">
        <f>INDEX('Media Plan'!$D$5:$D$12,MATCH(D84,'Media Plan'!$A$5:$A$12,0))</f>
        <v>CARE</v>
      </c>
      <c r="G84" s="63">
        <v>463</v>
      </c>
      <c r="H84" s="63">
        <v>823</v>
      </c>
      <c r="I84" s="63">
        <v>58</v>
      </c>
      <c r="J84" s="63">
        <v>9</v>
      </c>
      <c r="K84" s="63">
        <v>1</v>
      </c>
      <c r="L84" s="63">
        <v>4490</v>
      </c>
      <c r="M84" s="64">
        <f t="shared" si="8"/>
        <v>7.0473876063183477E-2</v>
      </c>
      <c r="N84" s="65">
        <f t="shared" si="9"/>
        <v>7.9827586206896548</v>
      </c>
      <c r="O84" s="66">
        <f t="shared" si="10"/>
        <v>562.57594167679224</v>
      </c>
      <c r="P84" s="64">
        <f t="shared" si="11"/>
        <v>1.7241379310344827E-2</v>
      </c>
      <c r="Q84" s="63">
        <f t="shared" si="12"/>
        <v>463</v>
      </c>
      <c r="R84" s="67">
        <f t="shared" si="13"/>
        <v>9.6976241900647953</v>
      </c>
    </row>
    <row r="85" spans="1:18" x14ac:dyDescent="0.3">
      <c r="A85" s="61">
        <v>46337</v>
      </c>
      <c r="B85" s="62">
        <v>11</v>
      </c>
      <c r="C85" s="62">
        <f t="shared" si="7"/>
        <v>2</v>
      </c>
      <c r="D85" s="62" t="s">
        <v>241</v>
      </c>
      <c r="E85" s="62" t="str">
        <f>INDEX('Media Plan'!$B$5:$B$12,MATCH(D85,'Media Plan'!$A$5:$A$12,0))</f>
        <v>TikTok</v>
      </c>
      <c r="F85" s="62" t="str">
        <f>INDEX('Media Plan'!$D$5:$D$12,MATCH(D85,'Media Plan'!$A$5:$A$12,0))</f>
        <v>TOFU</v>
      </c>
      <c r="G85" s="63">
        <v>1315</v>
      </c>
      <c r="H85" s="63">
        <v>47023</v>
      </c>
      <c r="I85" s="63">
        <v>295</v>
      </c>
      <c r="J85" s="63">
        <v>1</v>
      </c>
      <c r="K85" s="63">
        <v>0</v>
      </c>
      <c r="L85" s="63">
        <v>0</v>
      </c>
      <c r="M85" s="64">
        <f t="shared" si="8"/>
        <v>6.2735257214554582E-3</v>
      </c>
      <c r="N85" s="65">
        <f t="shared" si="9"/>
        <v>4.4576271186440675</v>
      </c>
      <c r="O85" s="66">
        <f t="shared" si="10"/>
        <v>27.96503838547094</v>
      </c>
      <c r="P85" s="64">
        <f t="shared" si="11"/>
        <v>0</v>
      </c>
      <c r="Q85" s="63" t="str">
        <f t="shared" si="12"/>
        <v>-</v>
      </c>
      <c r="R85" s="67">
        <f t="shared" si="13"/>
        <v>0</v>
      </c>
    </row>
    <row r="86" spans="1:18" x14ac:dyDescent="0.3">
      <c r="A86" s="61">
        <v>46337</v>
      </c>
      <c r="B86" s="62">
        <v>11</v>
      </c>
      <c r="C86" s="62">
        <f t="shared" si="7"/>
        <v>2</v>
      </c>
      <c r="D86" s="62" t="s">
        <v>250</v>
      </c>
      <c r="E86" s="62" t="str">
        <f>INDEX('Media Plan'!$B$5:$B$12,MATCH(D86,'Media Plan'!$A$5:$A$12,0))</f>
        <v>YouTube</v>
      </c>
      <c r="F86" s="62" t="str">
        <f>INDEX('Media Plan'!$D$5:$D$12,MATCH(D86,'Media Plan'!$A$5:$A$12,0))</f>
        <v>TOFU</v>
      </c>
      <c r="G86" s="63">
        <v>444</v>
      </c>
      <c r="H86" s="63">
        <v>8898</v>
      </c>
      <c r="I86" s="63">
        <v>25</v>
      </c>
      <c r="J86" s="63">
        <v>0</v>
      </c>
      <c r="K86" s="63">
        <v>0</v>
      </c>
      <c r="L86" s="63">
        <v>0</v>
      </c>
      <c r="M86" s="64">
        <f t="shared" si="8"/>
        <v>2.8096201393571587E-3</v>
      </c>
      <c r="N86" s="65">
        <f t="shared" si="9"/>
        <v>17.760000000000002</v>
      </c>
      <c r="O86" s="66">
        <f t="shared" si="10"/>
        <v>49.898853674983144</v>
      </c>
      <c r="P86" s="64">
        <f t="shared" si="11"/>
        <v>0</v>
      </c>
      <c r="Q86" s="63" t="str">
        <f t="shared" si="12"/>
        <v>-</v>
      </c>
      <c r="R86" s="67">
        <f t="shared" si="13"/>
        <v>0</v>
      </c>
    </row>
    <row r="87" spans="1:18" x14ac:dyDescent="0.3">
      <c r="A87" s="61">
        <v>46337</v>
      </c>
      <c r="B87" s="62">
        <v>11</v>
      </c>
      <c r="C87" s="62">
        <f t="shared" si="7"/>
        <v>2</v>
      </c>
      <c r="D87" s="62" t="s">
        <v>258</v>
      </c>
      <c r="E87" s="62" t="str">
        <f>INDEX('Media Plan'!$B$5:$B$12,MATCH(D87,'Media Plan'!$A$5:$A$12,0))</f>
        <v>Snapchat</v>
      </c>
      <c r="F87" s="62" t="str">
        <f>INDEX('Media Plan'!$D$5:$D$12,MATCH(D87,'Media Plan'!$A$5:$A$12,0))</f>
        <v>MOFU</v>
      </c>
      <c r="G87" s="63">
        <v>445</v>
      </c>
      <c r="H87" s="63">
        <v>18246</v>
      </c>
      <c r="I87" s="63">
        <v>94</v>
      </c>
      <c r="J87" s="63">
        <v>0</v>
      </c>
      <c r="K87" s="63">
        <v>0</v>
      </c>
      <c r="L87" s="63">
        <v>0</v>
      </c>
      <c r="M87" s="64">
        <f t="shared" si="8"/>
        <v>5.151814096240272E-3</v>
      </c>
      <c r="N87" s="65">
        <f t="shared" si="9"/>
        <v>4.7340425531914896</v>
      </c>
      <c r="O87" s="66">
        <f t="shared" si="10"/>
        <v>24.388907157733204</v>
      </c>
      <c r="P87" s="64">
        <f t="shared" si="11"/>
        <v>0</v>
      </c>
      <c r="Q87" s="63" t="str">
        <f t="shared" si="12"/>
        <v>-</v>
      </c>
      <c r="R87" s="67">
        <f t="shared" si="13"/>
        <v>0</v>
      </c>
    </row>
    <row r="88" spans="1:18" x14ac:dyDescent="0.3">
      <c r="A88" s="61">
        <v>46337</v>
      </c>
      <c r="B88" s="62">
        <v>11</v>
      </c>
      <c r="C88" s="62">
        <f t="shared" si="7"/>
        <v>2</v>
      </c>
      <c r="D88" s="62" t="s">
        <v>266</v>
      </c>
      <c r="E88" s="62" t="str">
        <f>INDEX('Media Plan'!$B$5:$B$12,MATCH(D88,'Media Plan'!$A$5:$A$12,0))</f>
        <v>Meta</v>
      </c>
      <c r="F88" s="62" t="str">
        <f>INDEX('Media Plan'!$D$5:$D$12,MATCH(D88,'Media Plan'!$A$5:$A$12,0))</f>
        <v>MOFU</v>
      </c>
      <c r="G88" s="63">
        <v>1603</v>
      </c>
      <c r="H88" s="63">
        <v>27601</v>
      </c>
      <c r="I88" s="63">
        <v>409</v>
      </c>
      <c r="J88" s="63">
        <v>9</v>
      </c>
      <c r="K88" s="63">
        <v>0</v>
      </c>
      <c r="L88" s="63">
        <v>0</v>
      </c>
      <c r="M88" s="64">
        <f t="shared" si="8"/>
        <v>1.4818303684649106E-2</v>
      </c>
      <c r="N88" s="65">
        <f t="shared" si="9"/>
        <v>3.9193154034229827</v>
      </c>
      <c r="O88" s="66">
        <f t="shared" si="10"/>
        <v>58.07760588384479</v>
      </c>
      <c r="P88" s="64">
        <f t="shared" si="11"/>
        <v>0</v>
      </c>
      <c r="Q88" s="63" t="str">
        <f t="shared" si="12"/>
        <v>-</v>
      </c>
      <c r="R88" s="67">
        <f t="shared" si="13"/>
        <v>0</v>
      </c>
    </row>
    <row r="89" spans="1:18" x14ac:dyDescent="0.3">
      <c r="A89" s="61">
        <v>46337</v>
      </c>
      <c r="B89" s="62">
        <v>11</v>
      </c>
      <c r="C89" s="62">
        <f t="shared" si="7"/>
        <v>2</v>
      </c>
      <c r="D89" s="62" t="s">
        <v>275</v>
      </c>
      <c r="E89" s="62" t="str">
        <f>INDEX('Media Plan'!$B$5:$B$12,MATCH(D89,'Media Plan'!$A$5:$A$12,0))</f>
        <v>Google Search</v>
      </c>
      <c r="F89" s="62" t="str">
        <f>INDEX('Media Plan'!$D$5:$D$12,MATCH(D89,'Media Plan'!$A$5:$A$12,0))</f>
        <v>BOFU</v>
      </c>
      <c r="G89" s="63">
        <v>1778</v>
      </c>
      <c r="H89" s="63">
        <v>4834</v>
      </c>
      <c r="I89" s="63">
        <v>329</v>
      </c>
      <c r="J89" s="63">
        <v>18</v>
      </c>
      <c r="K89" s="63">
        <v>5</v>
      </c>
      <c r="L89" s="63">
        <v>24230</v>
      </c>
      <c r="M89" s="64">
        <f t="shared" si="8"/>
        <v>6.8059577989242864E-2</v>
      </c>
      <c r="N89" s="65">
        <f t="shared" si="9"/>
        <v>5.4042553191489358</v>
      </c>
      <c r="O89" s="66">
        <f t="shared" si="10"/>
        <v>367.81133636739759</v>
      </c>
      <c r="P89" s="64">
        <f t="shared" si="11"/>
        <v>1.5197568389057751E-2</v>
      </c>
      <c r="Q89" s="63">
        <f t="shared" si="12"/>
        <v>355.6</v>
      </c>
      <c r="R89" s="67">
        <f t="shared" si="13"/>
        <v>13.627671541057367</v>
      </c>
    </row>
    <row r="90" spans="1:18" x14ac:dyDescent="0.3">
      <c r="A90" s="61">
        <v>46337</v>
      </c>
      <c r="B90" s="62">
        <v>11</v>
      </c>
      <c r="C90" s="62">
        <f t="shared" si="7"/>
        <v>2</v>
      </c>
      <c r="D90" s="62" t="s">
        <v>282</v>
      </c>
      <c r="E90" s="62" t="str">
        <f>INDEX('Media Plan'!$B$5:$B$12,MATCH(D90,'Media Plan'!$A$5:$A$12,0))</f>
        <v>Google PMax</v>
      </c>
      <c r="F90" s="62" t="str">
        <f>INDEX('Media Plan'!$D$5:$D$12,MATCH(D90,'Media Plan'!$A$5:$A$12,0))</f>
        <v>BOFU</v>
      </c>
      <c r="G90" s="63">
        <v>1169</v>
      </c>
      <c r="H90" s="63">
        <v>17882</v>
      </c>
      <c r="I90" s="63">
        <v>293</v>
      </c>
      <c r="J90" s="63">
        <v>7</v>
      </c>
      <c r="K90" s="63">
        <v>0</v>
      </c>
      <c r="L90" s="63">
        <v>0</v>
      </c>
      <c r="M90" s="64">
        <f t="shared" si="8"/>
        <v>1.638519181299631E-2</v>
      </c>
      <c r="N90" s="65">
        <f t="shared" si="9"/>
        <v>3.9897610921501707</v>
      </c>
      <c r="O90" s="66">
        <f t="shared" si="10"/>
        <v>65.373000782910196</v>
      </c>
      <c r="P90" s="64">
        <f t="shared" si="11"/>
        <v>0</v>
      </c>
      <c r="Q90" s="63" t="str">
        <f t="shared" si="12"/>
        <v>-</v>
      </c>
      <c r="R90" s="67">
        <f t="shared" si="13"/>
        <v>0</v>
      </c>
    </row>
    <row r="91" spans="1:18" x14ac:dyDescent="0.3">
      <c r="A91" s="61">
        <v>46337</v>
      </c>
      <c r="B91" s="62">
        <v>11</v>
      </c>
      <c r="C91" s="62">
        <f t="shared" si="7"/>
        <v>2</v>
      </c>
      <c r="D91" s="62" t="s">
        <v>289</v>
      </c>
      <c r="E91" s="62" t="str">
        <f>INDEX('Media Plan'!$B$5:$B$12,MATCH(D91,'Media Plan'!$A$5:$A$12,0))</f>
        <v>Meta</v>
      </c>
      <c r="F91" s="62" t="str">
        <f>INDEX('Media Plan'!$D$5:$D$12,MATCH(D91,'Media Plan'!$A$5:$A$12,0))</f>
        <v>BOFU</v>
      </c>
      <c r="G91" s="63">
        <v>1283</v>
      </c>
      <c r="H91" s="63">
        <v>14733</v>
      </c>
      <c r="I91" s="63">
        <v>235</v>
      </c>
      <c r="J91" s="63">
        <v>9</v>
      </c>
      <c r="K91" s="63">
        <v>1</v>
      </c>
      <c r="L91" s="63">
        <v>5400</v>
      </c>
      <c r="M91" s="64">
        <f t="shared" si="8"/>
        <v>1.5950587117355596E-2</v>
      </c>
      <c r="N91" s="65">
        <f t="shared" si="9"/>
        <v>5.4595744680851066</v>
      </c>
      <c r="O91" s="66">
        <f t="shared" si="10"/>
        <v>87.083418176881821</v>
      </c>
      <c r="P91" s="64">
        <f t="shared" si="11"/>
        <v>4.2553191489361703E-3</v>
      </c>
      <c r="Q91" s="63">
        <f t="shared" si="12"/>
        <v>1283</v>
      </c>
      <c r="R91" s="67">
        <f t="shared" si="13"/>
        <v>4.2088854247856586</v>
      </c>
    </row>
    <row r="92" spans="1:18" x14ac:dyDescent="0.3">
      <c r="A92" s="61">
        <v>46337</v>
      </c>
      <c r="B92" s="62">
        <v>11</v>
      </c>
      <c r="C92" s="62">
        <f t="shared" si="7"/>
        <v>2</v>
      </c>
      <c r="D92" s="62" t="s">
        <v>296</v>
      </c>
      <c r="E92" s="62" t="str">
        <f>INDEX('Media Plan'!$B$5:$B$12,MATCH(D92,'Media Plan'!$A$5:$A$12,0))</f>
        <v>Email + WhatsApp</v>
      </c>
      <c r="F92" s="62" t="str">
        <f>INDEX('Media Plan'!$D$5:$D$12,MATCH(D92,'Media Plan'!$A$5:$A$12,0))</f>
        <v>CARE</v>
      </c>
      <c r="G92" s="63">
        <v>401</v>
      </c>
      <c r="H92" s="63">
        <v>629</v>
      </c>
      <c r="I92" s="63">
        <v>53</v>
      </c>
      <c r="J92" s="63">
        <v>6</v>
      </c>
      <c r="K92" s="63">
        <v>0</v>
      </c>
      <c r="L92" s="63">
        <v>0</v>
      </c>
      <c r="M92" s="64">
        <f t="shared" si="8"/>
        <v>8.4260731319554846E-2</v>
      </c>
      <c r="N92" s="65">
        <f t="shared" si="9"/>
        <v>7.5660377358490569</v>
      </c>
      <c r="O92" s="66">
        <f t="shared" si="10"/>
        <v>637.51987281399045</v>
      </c>
      <c r="P92" s="64">
        <f t="shared" si="11"/>
        <v>0</v>
      </c>
      <c r="Q92" s="63" t="str">
        <f t="shared" si="12"/>
        <v>-</v>
      </c>
      <c r="R92" s="67">
        <f t="shared" si="13"/>
        <v>0</v>
      </c>
    </row>
    <row r="93" spans="1:18" x14ac:dyDescent="0.3">
      <c r="A93" s="61">
        <v>46338</v>
      </c>
      <c r="B93" s="62">
        <v>12</v>
      </c>
      <c r="C93" s="62">
        <f t="shared" si="7"/>
        <v>2</v>
      </c>
      <c r="D93" s="62" t="s">
        <v>241</v>
      </c>
      <c r="E93" s="62" t="str">
        <f>INDEX('Media Plan'!$B$5:$B$12,MATCH(D93,'Media Plan'!$A$5:$A$12,0))</f>
        <v>TikTok</v>
      </c>
      <c r="F93" s="62" t="str">
        <f>INDEX('Media Plan'!$D$5:$D$12,MATCH(D93,'Media Plan'!$A$5:$A$12,0))</f>
        <v>TOFU</v>
      </c>
      <c r="G93" s="63">
        <v>1384</v>
      </c>
      <c r="H93" s="63">
        <v>49409</v>
      </c>
      <c r="I93" s="63">
        <v>312</v>
      </c>
      <c r="J93" s="63">
        <v>2</v>
      </c>
      <c r="K93" s="63">
        <v>0</v>
      </c>
      <c r="L93" s="63">
        <v>0</v>
      </c>
      <c r="M93" s="64">
        <f t="shared" si="8"/>
        <v>6.3146390333744867E-3</v>
      </c>
      <c r="N93" s="65">
        <f t="shared" si="9"/>
        <v>4.4358974358974361</v>
      </c>
      <c r="O93" s="66">
        <f t="shared" si="10"/>
        <v>28.011091096763749</v>
      </c>
      <c r="P93" s="64">
        <f t="shared" si="11"/>
        <v>0</v>
      </c>
      <c r="Q93" s="63" t="str">
        <f t="shared" si="12"/>
        <v>-</v>
      </c>
      <c r="R93" s="67">
        <f t="shared" si="13"/>
        <v>0</v>
      </c>
    </row>
    <row r="94" spans="1:18" x14ac:dyDescent="0.3">
      <c r="A94" s="61">
        <v>46338</v>
      </c>
      <c r="B94" s="62">
        <v>12</v>
      </c>
      <c r="C94" s="62">
        <f t="shared" si="7"/>
        <v>2</v>
      </c>
      <c r="D94" s="62" t="s">
        <v>250</v>
      </c>
      <c r="E94" s="62" t="str">
        <f>INDEX('Media Plan'!$B$5:$B$12,MATCH(D94,'Media Plan'!$A$5:$A$12,0))</f>
        <v>YouTube</v>
      </c>
      <c r="F94" s="62" t="str">
        <f>INDEX('Media Plan'!$D$5:$D$12,MATCH(D94,'Media Plan'!$A$5:$A$12,0))</f>
        <v>TOFU</v>
      </c>
      <c r="G94" s="63">
        <v>436</v>
      </c>
      <c r="H94" s="63">
        <v>9017</v>
      </c>
      <c r="I94" s="63">
        <v>24</v>
      </c>
      <c r="J94" s="63">
        <v>0</v>
      </c>
      <c r="K94" s="63">
        <v>0</v>
      </c>
      <c r="L94" s="63">
        <v>0</v>
      </c>
      <c r="M94" s="64">
        <f t="shared" si="8"/>
        <v>2.6616391260951538E-3</v>
      </c>
      <c r="N94" s="65">
        <f t="shared" si="9"/>
        <v>18.166666666666668</v>
      </c>
      <c r="O94" s="66">
        <f t="shared" si="10"/>
        <v>48.353110790728628</v>
      </c>
      <c r="P94" s="64">
        <f t="shared" si="11"/>
        <v>0</v>
      </c>
      <c r="Q94" s="63" t="str">
        <f t="shared" si="12"/>
        <v>-</v>
      </c>
      <c r="R94" s="67">
        <f t="shared" si="13"/>
        <v>0</v>
      </c>
    </row>
    <row r="95" spans="1:18" x14ac:dyDescent="0.3">
      <c r="A95" s="61">
        <v>46338</v>
      </c>
      <c r="B95" s="62">
        <v>12</v>
      </c>
      <c r="C95" s="62">
        <f t="shared" si="7"/>
        <v>2</v>
      </c>
      <c r="D95" s="62" t="s">
        <v>258</v>
      </c>
      <c r="E95" s="62" t="str">
        <f>INDEX('Media Plan'!$B$5:$B$12,MATCH(D95,'Media Plan'!$A$5:$A$12,0))</f>
        <v>Snapchat</v>
      </c>
      <c r="F95" s="62" t="str">
        <f>INDEX('Media Plan'!$D$5:$D$12,MATCH(D95,'Media Plan'!$A$5:$A$12,0))</f>
        <v>MOFU</v>
      </c>
      <c r="G95" s="63">
        <v>389</v>
      </c>
      <c r="H95" s="63">
        <v>15096</v>
      </c>
      <c r="I95" s="63">
        <v>76</v>
      </c>
      <c r="J95" s="63">
        <v>0</v>
      </c>
      <c r="K95" s="63">
        <v>0</v>
      </c>
      <c r="L95" s="63">
        <v>0</v>
      </c>
      <c r="M95" s="64">
        <f t="shared" si="8"/>
        <v>5.0344462109167994E-3</v>
      </c>
      <c r="N95" s="65">
        <f t="shared" si="9"/>
        <v>5.1184210526315788</v>
      </c>
      <c r="O95" s="66">
        <f t="shared" si="10"/>
        <v>25.768415474297825</v>
      </c>
      <c r="P95" s="64">
        <f t="shared" si="11"/>
        <v>0</v>
      </c>
      <c r="Q95" s="63" t="str">
        <f t="shared" si="12"/>
        <v>-</v>
      </c>
      <c r="R95" s="67">
        <f t="shared" si="13"/>
        <v>0</v>
      </c>
    </row>
    <row r="96" spans="1:18" x14ac:dyDescent="0.3">
      <c r="A96" s="61">
        <v>46338</v>
      </c>
      <c r="B96" s="62">
        <v>12</v>
      </c>
      <c r="C96" s="62">
        <f t="shared" si="7"/>
        <v>2</v>
      </c>
      <c r="D96" s="62" t="s">
        <v>266</v>
      </c>
      <c r="E96" s="62" t="str">
        <f>INDEX('Media Plan'!$B$5:$B$12,MATCH(D96,'Media Plan'!$A$5:$A$12,0))</f>
        <v>Meta</v>
      </c>
      <c r="F96" s="62" t="str">
        <f>INDEX('Media Plan'!$D$5:$D$12,MATCH(D96,'Media Plan'!$A$5:$A$12,0))</f>
        <v>MOFU</v>
      </c>
      <c r="G96" s="63">
        <v>1679</v>
      </c>
      <c r="H96" s="63">
        <v>30895</v>
      </c>
      <c r="I96" s="63">
        <v>450</v>
      </c>
      <c r="J96" s="63">
        <v>8</v>
      </c>
      <c r="K96" s="63">
        <v>1</v>
      </c>
      <c r="L96" s="63">
        <v>4170</v>
      </c>
      <c r="M96" s="64">
        <f t="shared" si="8"/>
        <v>1.4565463667260074E-2</v>
      </c>
      <c r="N96" s="65">
        <f t="shared" si="9"/>
        <v>3.7311111111111113</v>
      </c>
      <c r="O96" s="66">
        <f t="shared" si="10"/>
        <v>54.345363327399255</v>
      </c>
      <c r="P96" s="64">
        <f t="shared" si="11"/>
        <v>2.2222222222222222E-3</v>
      </c>
      <c r="Q96" s="63">
        <f t="shared" si="12"/>
        <v>1679</v>
      </c>
      <c r="R96" s="67">
        <f t="shared" si="13"/>
        <v>2.4836212030970817</v>
      </c>
    </row>
    <row r="97" spans="1:18" x14ac:dyDescent="0.3">
      <c r="A97" s="61">
        <v>46338</v>
      </c>
      <c r="B97" s="62">
        <v>12</v>
      </c>
      <c r="C97" s="62">
        <f t="shared" si="7"/>
        <v>2</v>
      </c>
      <c r="D97" s="62" t="s">
        <v>275</v>
      </c>
      <c r="E97" s="62" t="str">
        <f>INDEX('Media Plan'!$B$5:$B$12,MATCH(D97,'Media Plan'!$A$5:$A$12,0))</f>
        <v>Google Search</v>
      </c>
      <c r="F97" s="62" t="str">
        <f>INDEX('Media Plan'!$D$5:$D$12,MATCH(D97,'Media Plan'!$A$5:$A$12,0))</f>
        <v>BOFU</v>
      </c>
      <c r="G97" s="63">
        <v>1778</v>
      </c>
      <c r="H97" s="63">
        <v>5258</v>
      </c>
      <c r="I97" s="63">
        <v>307</v>
      </c>
      <c r="J97" s="63">
        <v>15</v>
      </c>
      <c r="K97" s="63">
        <v>2</v>
      </c>
      <c r="L97" s="63">
        <v>8780</v>
      </c>
      <c r="M97" s="64">
        <f t="shared" si="8"/>
        <v>5.8387219475085586E-2</v>
      </c>
      <c r="N97" s="65">
        <f t="shared" si="9"/>
        <v>5.7915309446254071</v>
      </c>
      <c r="O97" s="66">
        <f t="shared" si="10"/>
        <v>338.15138836059339</v>
      </c>
      <c r="P97" s="64">
        <f t="shared" si="11"/>
        <v>6.5146579804560263E-3</v>
      </c>
      <c r="Q97" s="63">
        <f t="shared" si="12"/>
        <v>889</v>
      </c>
      <c r="R97" s="67">
        <f t="shared" si="13"/>
        <v>4.9381327334083238</v>
      </c>
    </row>
    <row r="98" spans="1:18" x14ac:dyDescent="0.3">
      <c r="A98" s="61">
        <v>46338</v>
      </c>
      <c r="B98" s="62">
        <v>12</v>
      </c>
      <c r="C98" s="62">
        <f t="shared" si="7"/>
        <v>2</v>
      </c>
      <c r="D98" s="62" t="s">
        <v>282</v>
      </c>
      <c r="E98" s="62" t="str">
        <f>INDEX('Media Plan'!$B$5:$B$12,MATCH(D98,'Media Plan'!$A$5:$A$12,0))</f>
        <v>Google PMax</v>
      </c>
      <c r="F98" s="62" t="str">
        <f>INDEX('Media Plan'!$D$5:$D$12,MATCH(D98,'Media Plan'!$A$5:$A$12,0))</f>
        <v>BOFU</v>
      </c>
      <c r="G98" s="63">
        <v>1142</v>
      </c>
      <c r="H98" s="63">
        <v>15158</v>
      </c>
      <c r="I98" s="63">
        <v>229</v>
      </c>
      <c r="J98" s="63">
        <v>5</v>
      </c>
      <c r="K98" s="63">
        <v>0</v>
      </c>
      <c r="L98" s="63">
        <v>0</v>
      </c>
      <c r="M98" s="64">
        <f t="shared" si="8"/>
        <v>1.5107533975458503E-2</v>
      </c>
      <c r="N98" s="65">
        <f t="shared" si="9"/>
        <v>4.9868995633187776</v>
      </c>
      <c r="O98" s="66">
        <f t="shared" si="10"/>
        <v>75.33975458503761</v>
      </c>
      <c r="P98" s="64">
        <f t="shared" si="11"/>
        <v>0</v>
      </c>
      <c r="Q98" s="63" t="str">
        <f t="shared" si="12"/>
        <v>-</v>
      </c>
      <c r="R98" s="67">
        <f t="shared" si="13"/>
        <v>0</v>
      </c>
    </row>
    <row r="99" spans="1:18" x14ac:dyDescent="0.3">
      <c r="A99" s="61">
        <v>46338</v>
      </c>
      <c r="B99" s="62">
        <v>12</v>
      </c>
      <c r="C99" s="62">
        <f t="shared" si="7"/>
        <v>2</v>
      </c>
      <c r="D99" s="62" t="s">
        <v>289</v>
      </c>
      <c r="E99" s="62" t="str">
        <f>INDEX('Media Plan'!$B$5:$B$12,MATCH(D99,'Media Plan'!$A$5:$A$12,0))</f>
        <v>Meta</v>
      </c>
      <c r="F99" s="62" t="str">
        <f>INDEX('Media Plan'!$D$5:$D$12,MATCH(D99,'Media Plan'!$A$5:$A$12,0))</f>
        <v>BOFU</v>
      </c>
      <c r="G99" s="63">
        <v>1158</v>
      </c>
      <c r="H99" s="63">
        <v>13513</v>
      </c>
      <c r="I99" s="63">
        <v>225</v>
      </c>
      <c r="J99" s="63">
        <v>10</v>
      </c>
      <c r="K99" s="63">
        <v>0</v>
      </c>
      <c r="L99" s="63">
        <v>0</v>
      </c>
      <c r="M99" s="64">
        <f t="shared" si="8"/>
        <v>1.6650632724043515E-2</v>
      </c>
      <c r="N99" s="65">
        <f t="shared" si="9"/>
        <v>5.1466666666666665</v>
      </c>
      <c r="O99" s="66">
        <f t="shared" si="10"/>
        <v>85.695256419743941</v>
      </c>
      <c r="P99" s="64">
        <f t="shared" si="11"/>
        <v>0</v>
      </c>
      <c r="Q99" s="63" t="str">
        <f t="shared" si="12"/>
        <v>-</v>
      </c>
      <c r="R99" s="67">
        <f t="shared" si="13"/>
        <v>0</v>
      </c>
    </row>
    <row r="100" spans="1:18" x14ac:dyDescent="0.3">
      <c r="A100" s="61">
        <v>46338</v>
      </c>
      <c r="B100" s="62">
        <v>12</v>
      </c>
      <c r="C100" s="62">
        <f t="shared" si="7"/>
        <v>2</v>
      </c>
      <c r="D100" s="62" t="s">
        <v>296</v>
      </c>
      <c r="E100" s="62" t="str">
        <f>INDEX('Media Plan'!$B$5:$B$12,MATCH(D100,'Media Plan'!$A$5:$A$12,0))</f>
        <v>Email + WhatsApp</v>
      </c>
      <c r="F100" s="62" t="str">
        <f>INDEX('Media Plan'!$D$5:$D$12,MATCH(D100,'Media Plan'!$A$5:$A$12,0))</f>
        <v>CARE</v>
      </c>
      <c r="G100" s="63">
        <v>394</v>
      </c>
      <c r="H100" s="63">
        <v>610</v>
      </c>
      <c r="I100" s="63">
        <v>49</v>
      </c>
      <c r="J100" s="63">
        <v>7</v>
      </c>
      <c r="K100" s="63">
        <v>1</v>
      </c>
      <c r="L100" s="63">
        <v>4700</v>
      </c>
      <c r="M100" s="64">
        <f t="shared" si="8"/>
        <v>8.0327868852459017E-2</v>
      </c>
      <c r="N100" s="65">
        <f t="shared" si="9"/>
        <v>8.0408163265306118</v>
      </c>
      <c r="O100" s="66">
        <f t="shared" si="10"/>
        <v>645.90163934426221</v>
      </c>
      <c r="P100" s="64">
        <f t="shared" si="11"/>
        <v>2.0408163265306121E-2</v>
      </c>
      <c r="Q100" s="63">
        <f t="shared" si="12"/>
        <v>394</v>
      </c>
      <c r="R100" s="67">
        <f t="shared" si="13"/>
        <v>11.928934010152284</v>
      </c>
    </row>
    <row r="101" spans="1:18" x14ac:dyDescent="0.3">
      <c r="A101" s="61">
        <v>46339</v>
      </c>
      <c r="B101" s="62">
        <v>13</v>
      </c>
      <c r="C101" s="62">
        <f t="shared" si="7"/>
        <v>2</v>
      </c>
      <c r="D101" s="62" t="s">
        <v>241</v>
      </c>
      <c r="E101" s="62" t="str">
        <f>INDEX('Media Plan'!$B$5:$B$12,MATCH(D101,'Media Plan'!$A$5:$A$12,0))</f>
        <v>TikTok</v>
      </c>
      <c r="F101" s="62" t="str">
        <f>INDEX('Media Plan'!$D$5:$D$12,MATCH(D101,'Media Plan'!$A$5:$A$12,0))</f>
        <v>TOFU</v>
      </c>
      <c r="G101" s="63">
        <v>1362</v>
      </c>
      <c r="H101" s="63">
        <v>44868</v>
      </c>
      <c r="I101" s="63">
        <v>267</v>
      </c>
      <c r="J101" s="63">
        <v>1</v>
      </c>
      <c r="K101" s="63">
        <v>0</v>
      </c>
      <c r="L101" s="63">
        <v>0</v>
      </c>
      <c r="M101" s="64">
        <f t="shared" si="8"/>
        <v>5.9507889810109654E-3</v>
      </c>
      <c r="N101" s="65">
        <f t="shared" si="9"/>
        <v>5.1011235955056176</v>
      </c>
      <c r="O101" s="66">
        <f t="shared" si="10"/>
        <v>30.355710082909866</v>
      </c>
      <c r="P101" s="64">
        <f t="shared" si="11"/>
        <v>0</v>
      </c>
      <c r="Q101" s="63" t="str">
        <f t="shared" si="12"/>
        <v>-</v>
      </c>
      <c r="R101" s="67">
        <f t="shared" si="13"/>
        <v>0</v>
      </c>
    </row>
    <row r="102" spans="1:18" x14ac:dyDescent="0.3">
      <c r="A102" s="61">
        <v>46339</v>
      </c>
      <c r="B102" s="62">
        <v>13</v>
      </c>
      <c r="C102" s="62">
        <f t="shared" si="7"/>
        <v>2</v>
      </c>
      <c r="D102" s="62" t="s">
        <v>250</v>
      </c>
      <c r="E102" s="62" t="str">
        <f>INDEX('Media Plan'!$B$5:$B$12,MATCH(D102,'Media Plan'!$A$5:$A$12,0))</f>
        <v>YouTube</v>
      </c>
      <c r="F102" s="62" t="str">
        <f>INDEX('Media Plan'!$D$5:$D$12,MATCH(D102,'Media Plan'!$A$5:$A$12,0))</f>
        <v>TOFU</v>
      </c>
      <c r="G102" s="63">
        <v>372</v>
      </c>
      <c r="H102" s="63">
        <v>7354</v>
      </c>
      <c r="I102" s="63">
        <v>20</v>
      </c>
      <c r="J102" s="63">
        <v>0</v>
      </c>
      <c r="K102" s="63">
        <v>0</v>
      </c>
      <c r="L102" s="63">
        <v>0</v>
      </c>
      <c r="M102" s="64">
        <f t="shared" si="8"/>
        <v>2.7196083763937995E-3</v>
      </c>
      <c r="N102" s="65">
        <f t="shared" si="9"/>
        <v>18.600000000000001</v>
      </c>
      <c r="O102" s="66">
        <f t="shared" si="10"/>
        <v>50.58471580092467</v>
      </c>
      <c r="P102" s="64">
        <f t="shared" si="11"/>
        <v>0</v>
      </c>
      <c r="Q102" s="63" t="str">
        <f t="shared" si="12"/>
        <v>-</v>
      </c>
      <c r="R102" s="67">
        <f t="shared" si="13"/>
        <v>0</v>
      </c>
    </row>
    <row r="103" spans="1:18" x14ac:dyDescent="0.3">
      <c r="A103" s="61">
        <v>46339</v>
      </c>
      <c r="B103" s="62">
        <v>13</v>
      </c>
      <c r="C103" s="62">
        <f t="shared" si="7"/>
        <v>2</v>
      </c>
      <c r="D103" s="62" t="s">
        <v>258</v>
      </c>
      <c r="E103" s="62" t="str">
        <f>INDEX('Media Plan'!$B$5:$B$12,MATCH(D103,'Media Plan'!$A$5:$A$12,0))</f>
        <v>Snapchat</v>
      </c>
      <c r="F103" s="62" t="str">
        <f>INDEX('Media Plan'!$D$5:$D$12,MATCH(D103,'Media Plan'!$A$5:$A$12,0))</f>
        <v>MOFU</v>
      </c>
      <c r="G103" s="63">
        <v>374</v>
      </c>
      <c r="H103" s="63">
        <v>14656</v>
      </c>
      <c r="I103" s="63">
        <v>69</v>
      </c>
      <c r="J103" s="63">
        <v>0</v>
      </c>
      <c r="K103" s="63">
        <v>0</v>
      </c>
      <c r="L103" s="63">
        <v>0</v>
      </c>
      <c r="M103" s="64">
        <f t="shared" si="8"/>
        <v>4.7079694323144102E-3</v>
      </c>
      <c r="N103" s="65">
        <f t="shared" si="9"/>
        <v>5.4202898550724639</v>
      </c>
      <c r="O103" s="66">
        <f t="shared" si="10"/>
        <v>25.518558951965066</v>
      </c>
      <c r="P103" s="64">
        <f t="shared" si="11"/>
        <v>0</v>
      </c>
      <c r="Q103" s="63" t="str">
        <f t="shared" si="12"/>
        <v>-</v>
      </c>
      <c r="R103" s="67">
        <f t="shared" si="13"/>
        <v>0</v>
      </c>
    </row>
    <row r="104" spans="1:18" x14ac:dyDescent="0.3">
      <c r="A104" s="61">
        <v>46339</v>
      </c>
      <c r="B104" s="62">
        <v>13</v>
      </c>
      <c r="C104" s="62">
        <f t="shared" si="7"/>
        <v>2</v>
      </c>
      <c r="D104" s="62" t="s">
        <v>266</v>
      </c>
      <c r="E104" s="62" t="str">
        <f>INDEX('Media Plan'!$B$5:$B$12,MATCH(D104,'Media Plan'!$A$5:$A$12,0))</f>
        <v>Meta</v>
      </c>
      <c r="F104" s="62" t="str">
        <f>INDEX('Media Plan'!$D$5:$D$12,MATCH(D104,'Media Plan'!$A$5:$A$12,0))</f>
        <v>MOFU</v>
      </c>
      <c r="G104" s="63">
        <v>1588</v>
      </c>
      <c r="H104" s="63">
        <v>26391</v>
      </c>
      <c r="I104" s="63">
        <v>321</v>
      </c>
      <c r="J104" s="63">
        <v>6</v>
      </c>
      <c r="K104" s="63">
        <v>3</v>
      </c>
      <c r="L104" s="63">
        <v>14750</v>
      </c>
      <c r="M104" s="64">
        <f t="shared" si="8"/>
        <v>1.2163237467318405E-2</v>
      </c>
      <c r="N104" s="65">
        <f t="shared" si="9"/>
        <v>4.9470404984423677</v>
      </c>
      <c r="O104" s="66">
        <f t="shared" si="10"/>
        <v>60.172028342995716</v>
      </c>
      <c r="P104" s="64">
        <f t="shared" si="11"/>
        <v>9.3457943925233638E-3</v>
      </c>
      <c r="Q104" s="63">
        <f t="shared" si="12"/>
        <v>529.33333333333337</v>
      </c>
      <c r="R104" s="67">
        <f t="shared" si="13"/>
        <v>9.2884130982367754</v>
      </c>
    </row>
    <row r="105" spans="1:18" x14ac:dyDescent="0.3">
      <c r="A105" s="61">
        <v>46339</v>
      </c>
      <c r="B105" s="62">
        <v>13</v>
      </c>
      <c r="C105" s="62">
        <f t="shared" si="7"/>
        <v>2</v>
      </c>
      <c r="D105" s="62" t="s">
        <v>275</v>
      </c>
      <c r="E105" s="62" t="str">
        <f>INDEX('Media Plan'!$B$5:$B$12,MATCH(D105,'Media Plan'!$A$5:$A$12,0))</f>
        <v>Google Search</v>
      </c>
      <c r="F105" s="62" t="str">
        <f>INDEX('Media Plan'!$D$5:$D$12,MATCH(D105,'Media Plan'!$A$5:$A$12,0))</f>
        <v>BOFU</v>
      </c>
      <c r="G105" s="63">
        <v>1778</v>
      </c>
      <c r="H105" s="63">
        <v>4579</v>
      </c>
      <c r="I105" s="63">
        <v>275</v>
      </c>
      <c r="J105" s="63">
        <v>13</v>
      </c>
      <c r="K105" s="63">
        <v>4</v>
      </c>
      <c r="L105" s="63">
        <v>16800</v>
      </c>
      <c r="M105" s="64">
        <f t="shared" si="8"/>
        <v>6.0056780956540733E-2</v>
      </c>
      <c r="N105" s="65">
        <f t="shared" si="9"/>
        <v>6.4654545454545458</v>
      </c>
      <c r="O105" s="66">
        <f t="shared" si="10"/>
        <v>388.2943874208342</v>
      </c>
      <c r="P105" s="64">
        <f t="shared" si="11"/>
        <v>1.4545454545454545E-2</v>
      </c>
      <c r="Q105" s="63">
        <f t="shared" si="12"/>
        <v>444.5</v>
      </c>
      <c r="R105" s="67">
        <f t="shared" si="13"/>
        <v>9.4488188976377945</v>
      </c>
    </row>
    <row r="106" spans="1:18" x14ac:dyDescent="0.3">
      <c r="A106" s="61">
        <v>46339</v>
      </c>
      <c r="B106" s="62">
        <v>13</v>
      </c>
      <c r="C106" s="62">
        <f t="shared" si="7"/>
        <v>2</v>
      </c>
      <c r="D106" s="62" t="s">
        <v>282</v>
      </c>
      <c r="E106" s="62" t="str">
        <f>INDEX('Media Plan'!$B$5:$B$12,MATCH(D106,'Media Plan'!$A$5:$A$12,0))</f>
        <v>Google PMax</v>
      </c>
      <c r="F106" s="62" t="str">
        <f>INDEX('Media Plan'!$D$5:$D$12,MATCH(D106,'Media Plan'!$A$5:$A$12,0))</f>
        <v>BOFU</v>
      </c>
      <c r="G106" s="63">
        <v>954</v>
      </c>
      <c r="H106" s="63">
        <v>13737</v>
      </c>
      <c r="I106" s="63">
        <v>211</v>
      </c>
      <c r="J106" s="63">
        <v>5</v>
      </c>
      <c r="K106" s="63">
        <v>0</v>
      </c>
      <c r="L106" s="63">
        <v>0</v>
      </c>
      <c r="M106" s="64">
        <f t="shared" si="8"/>
        <v>1.5359976705248598E-2</v>
      </c>
      <c r="N106" s="65">
        <f t="shared" si="9"/>
        <v>4.5213270142180093</v>
      </c>
      <c r="O106" s="66">
        <f t="shared" si="10"/>
        <v>69.44747761519983</v>
      </c>
      <c r="P106" s="64">
        <f t="shared" si="11"/>
        <v>0</v>
      </c>
      <c r="Q106" s="63" t="str">
        <f t="shared" si="12"/>
        <v>-</v>
      </c>
      <c r="R106" s="67">
        <f t="shared" si="13"/>
        <v>0</v>
      </c>
    </row>
    <row r="107" spans="1:18" x14ac:dyDescent="0.3">
      <c r="A107" s="61">
        <v>46339</v>
      </c>
      <c r="B107" s="62">
        <v>13</v>
      </c>
      <c r="C107" s="62">
        <f t="shared" si="7"/>
        <v>2</v>
      </c>
      <c r="D107" s="62" t="s">
        <v>289</v>
      </c>
      <c r="E107" s="62" t="str">
        <f>INDEX('Media Plan'!$B$5:$B$12,MATCH(D107,'Media Plan'!$A$5:$A$12,0))</f>
        <v>Meta</v>
      </c>
      <c r="F107" s="62" t="str">
        <f>INDEX('Media Plan'!$D$5:$D$12,MATCH(D107,'Media Plan'!$A$5:$A$12,0))</f>
        <v>BOFU</v>
      </c>
      <c r="G107" s="63">
        <v>1312</v>
      </c>
      <c r="H107" s="63">
        <v>14056</v>
      </c>
      <c r="I107" s="63">
        <v>250</v>
      </c>
      <c r="J107" s="63">
        <v>11</v>
      </c>
      <c r="K107" s="63">
        <v>6</v>
      </c>
      <c r="L107" s="63">
        <v>28180</v>
      </c>
      <c r="M107" s="64">
        <f t="shared" si="8"/>
        <v>1.7785998861696073E-2</v>
      </c>
      <c r="N107" s="65">
        <f t="shared" si="9"/>
        <v>5.2480000000000002</v>
      </c>
      <c r="O107" s="66">
        <f t="shared" si="10"/>
        <v>93.340922026180991</v>
      </c>
      <c r="P107" s="64">
        <f t="shared" si="11"/>
        <v>2.4E-2</v>
      </c>
      <c r="Q107" s="63">
        <f t="shared" si="12"/>
        <v>218.66666666666666</v>
      </c>
      <c r="R107" s="67">
        <f t="shared" si="13"/>
        <v>21.478658536585368</v>
      </c>
    </row>
    <row r="108" spans="1:18" x14ac:dyDescent="0.3">
      <c r="A108" s="61">
        <v>46339</v>
      </c>
      <c r="B108" s="62">
        <v>13</v>
      </c>
      <c r="C108" s="62">
        <f t="shared" si="7"/>
        <v>2</v>
      </c>
      <c r="D108" s="62" t="s">
        <v>296</v>
      </c>
      <c r="E108" s="62" t="str">
        <f>INDEX('Media Plan'!$B$5:$B$12,MATCH(D108,'Media Plan'!$A$5:$A$12,0))</f>
        <v>Email + WhatsApp</v>
      </c>
      <c r="F108" s="62" t="str">
        <f>INDEX('Media Plan'!$D$5:$D$12,MATCH(D108,'Media Plan'!$A$5:$A$12,0))</f>
        <v>CARE</v>
      </c>
      <c r="G108" s="63">
        <v>442</v>
      </c>
      <c r="H108" s="63">
        <v>728</v>
      </c>
      <c r="I108" s="63">
        <v>55</v>
      </c>
      <c r="J108" s="63">
        <v>8</v>
      </c>
      <c r="K108" s="63">
        <v>0</v>
      </c>
      <c r="L108" s="63">
        <v>0</v>
      </c>
      <c r="M108" s="64">
        <f t="shared" si="8"/>
        <v>7.5549450549450545E-2</v>
      </c>
      <c r="N108" s="65">
        <f t="shared" si="9"/>
        <v>8.036363636363637</v>
      </c>
      <c r="O108" s="66">
        <f t="shared" si="10"/>
        <v>607.14285714285711</v>
      </c>
      <c r="P108" s="64">
        <f t="shared" si="11"/>
        <v>0</v>
      </c>
      <c r="Q108" s="63" t="str">
        <f t="shared" si="12"/>
        <v>-</v>
      </c>
      <c r="R108" s="67">
        <f t="shared" si="13"/>
        <v>0</v>
      </c>
    </row>
    <row r="109" spans="1:18" x14ac:dyDescent="0.3">
      <c r="A109" s="61">
        <v>46340</v>
      </c>
      <c r="B109" s="62">
        <v>14</v>
      </c>
      <c r="C109" s="62">
        <f t="shared" si="7"/>
        <v>2</v>
      </c>
      <c r="D109" s="62" t="s">
        <v>241</v>
      </c>
      <c r="E109" s="62" t="str">
        <f>INDEX('Media Plan'!$B$5:$B$12,MATCH(D109,'Media Plan'!$A$5:$A$12,0))</f>
        <v>TikTok</v>
      </c>
      <c r="F109" s="62" t="str">
        <f>INDEX('Media Plan'!$D$5:$D$12,MATCH(D109,'Media Plan'!$A$5:$A$12,0))</f>
        <v>TOFU</v>
      </c>
      <c r="G109" s="63">
        <v>1310</v>
      </c>
      <c r="H109" s="63">
        <v>40778</v>
      </c>
      <c r="I109" s="63">
        <v>245</v>
      </c>
      <c r="J109" s="63">
        <v>1</v>
      </c>
      <c r="K109" s="63">
        <v>0</v>
      </c>
      <c r="L109" s="63">
        <v>0</v>
      </c>
      <c r="M109" s="64">
        <f t="shared" si="8"/>
        <v>6.0081416450046598E-3</v>
      </c>
      <c r="N109" s="65">
        <f t="shared" si="9"/>
        <v>5.3469387755102042</v>
      </c>
      <c r="O109" s="66">
        <f t="shared" si="10"/>
        <v>32.12516553043308</v>
      </c>
      <c r="P109" s="64">
        <f t="shared" si="11"/>
        <v>0</v>
      </c>
      <c r="Q109" s="63" t="str">
        <f t="shared" si="12"/>
        <v>-</v>
      </c>
      <c r="R109" s="67">
        <f t="shared" si="13"/>
        <v>0</v>
      </c>
    </row>
    <row r="110" spans="1:18" x14ac:dyDescent="0.3">
      <c r="A110" s="61">
        <v>46340</v>
      </c>
      <c r="B110" s="62">
        <v>14</v>
      </c>
      <c r="C110" s="62">
        <f t="shared" si="7"/>
        <v>2</v>
      </c>
      <c r="D110" s="62" t="s">
        <v>250</v>
      </c>
      <c r="E110" s="62" t="str">
        <f>INDEX('Media Plan'!$B$5:$B$12,MATCH(D110,'Media Plan'!$A$5:$A$12,0))</f>
        <v>YouTube</v>
      </c>
      <c r="F110" s="62" t="str">
        <f>INDEX('Media Plan'!$D$5:$D$12,MATCH(D110,'Media Plan'!$A$5:$A$12,0))</f>
        <v>TOFU</v>
      </c>
      <c r="G110" s="63">
        <v>371</v>
      </c>
      <c r="H110" s="63">
        <v>7938</v>
      </c>
      <c r="I110" s="63">
        <v>21</v>
      </c>
      <c r="J110" s="63">
        <v>0</v>
      </c>
      <c r="K110" s="63">
        <v>0</v>
      </c>
      <c r="L110" s="63">
        <v>0</v>
      </c>
      <c r="M110" s="64">
        <f t="shared" si="8"/>
        <v>2.6455026455026454E-3</v>
      </c>
      <c r="N110" s="65">
        <f t="shared" si="9"/>
        <v>17.666666666666668</v>
      </c>
      <c r="O110" s="66">
        <f t="shared" si="10"/>
        <v>46.73721340388007</v>
      </c>
      <c r="P110" s="64">
        <f t="shared" si="11"/>
        <v>0</v>
      </c>
      <c r="Q110" s="63" t="str">
        <f t="shared" si="12"/>
        <v>-</v>
      </c>
      <c r="R110" s="67">
        <f t="shared" si="13"/>
        <v>0</v>
      </c>
    </row>
    <row r="111" spans="1:18" x14ac:dyDescent="0.3">
      <c r="A111" s="61">
        <v>46340</v>
      </c>
      <c r="B111" s="62">
        <v>14</v>
      </c>
      <c r="C111" s="62">
        <f t="shared" si="7"/>
        <v>2</v>
      </c>
      <c r="D111" s="62" t="s">
        <v>258</v>
      </c>
      <c r="E111" s="62" t="str">
        <f>INDEX('Media Plan'!$B$5:$B$12,MATCH(D111,'Media Plan'!$A$5:$A$12,0))</f>
        <v>Snapchat</v>
      </c>
      <c r="F111" s="62" t="str">
        <f>INDEX('Media Plan'!$D$5:$D$12,MATCH(D111,'Media Plan'!$A$5:$A$12,0))</f>
        <v>MOFU</v>
      </c>
      <c r="G111" s="63">
        <v>463</v>
      </c>
      <c r="H111" s="63">
        <v>17575</v>
      </c>
      <c r="I111" s="63">
        <v>94</v>
      </c>
      <c r="J111" s="63">
        <v>2</v>
      </c>
      <c r="K111" s="63">
        <v>2</v>
      </c>
      <c r="L111" s="63">
        <v>8990</v>
      </c>
      <c r="M111" s="64">
        <f t="shared" si="8"/>
        <v>5.3485064011379799E-3</v>
      </c>
      <c r="N111" s="65">
        <f t="shared" si="9"/>
        <v>4.9255319148936172</v>
      </c>
      <c r="O111" s="66">
        <f t="shared" si="10"/>
        <v>26.344238975817923</v>
      </c>
      <c r="P111" s="64">
        <f t="shared" si="11"/>
        <v>2.1276595744680851E-2</v>
      </c>
      <c r="Q111" s="63">
        <f t="shared" si="12"/>
        <v>231.5</v>
      </c>
      <c r="R111" s="67">
        <f t="shared" si="13"/>
        <v>19.416846652267818</v>
      </c>
    </row>
    <row r="112" spans="1:18" x14ac:dyDescent="0.3">
      <c r="A112" s="61">
        <v>46340</v>
      </c>
      <c r="B112" s="62">
        <v>14</v>
      </c>
      <c r="C112" s="62">
        <f t="shared" si="7"/>
        <v>2</v>
      </c>
      <c r="D112" s="62" t="s">
        <v>266</v>
      </c>
      <c r="E112" s="62" t="str">
        <f>INDEX('Media Plan'!$B$5:$B$12,MATCH(D112,'Media Plan'!$A$5:$A$12,0))</f>
        <v>Meta</v>
      </c>
      <c r="F112" s="62" t="str">
        <f>INDEX('Media Plan'!$D$5:$D$12,MATCH(D112,'Media Plan'!$A$5:$A$12,0))</f>
        <v>MOFU</v>
      </c>
      <c r="G112" s="63">
        <v>1655</v>
      </c>
      <c r="H112" s="63">
        <v>28584</v>
      </c>
      <c r="I112" s="63">
        <v>409</v>
      </c>
      <c r="J112" s="63">
        <v>8</v>
      </c>
      <c r="K112" s="63">
        <v>0</v>
      </c>
      <c r="L112" s="63">
        <v>0</v>
      </c>
      <c r="M112" s="64">
        <f t="shared" si="8"/>
        <v>1.4308704170165127E-2</v>
      </c>
      <c r="N112" s="65">
        <f t="shared" si="9"/>
        <v>4.0464547677261615</v>
      </c>
      <c r="O112" s="66">
        <f t="shared" si="10"/>
        <v>57.899524209347888</v>
      </c>
      <c r="P112" s="64">
        <f t="shared" si="11"/>
        <v>0</v>
      </c>
      <c r="Q112" s="63" t="str">
        <f t="shared" si="12"/>
        <v>-</v>
      </c>
      <c r="R112" s="67">
        <f t="shared" si="13"/>
        <v>0</v>
      </c>
    </row>
    <row r="113" spans="1:18" x14ac:dyDescent="0.3">
      <c r="A113" s="61">
        <v>46340</v>
      </c>
      <c r="B113" s="62">
        <v>14</v>
      </c>
      <c r="C113" s="62">
        <f t="shared" si="7"/>
        <v>2</v>
      </c>
      <c r="D113" s="62" t="s">
        <v>275</v>
      </c>
      <c r="E113" s="62" t="str">
        <f>INDEX('Media Plan'!$B$5:$B$12,MATCH(D113,'Media Plan'!$A$5:$A$12,0))</f>
        <v>Google Search</v>
      </c>
      <c r="F113" s="62" t="str">
        <f>INDEX('Media Plan'!$D$5:$D$12,MATCH(D113,'Media Plan'!$A$5:$A$12,0))</f>
        <v>BOFU</v>
      </c>
      <c r="G113" s="63">
        <v>1778</v>
      </c>
      <c r="H113" s="63">
        <v>4834</v>
      </c>
      <c r="I113" s="63">
        <v>304</v>
      </c>
      <c r="J113" s="63">
        <v>16</v>
      </c>
      <c r="K113" s="63">
        <v>1</v>
      </c>
      <c r="L113" s="63">
        <v>5110</v>
      </c>
      <c r="M113" s="64">
        <f t="shared" si="8"/>
        <v>6.2887877534133219E-2</v>
      </c>
      <c r="N113" s="65">
        <f t="shared" si="9"/>
        <v>5.8486842105263159</v>
      </c>
      <c r="O113" s="66">
        <f t="shared" si="10"/>
        <v>367.81133636739759</v>
      </c>
      <c r="P113" s="64">
        <f t="shared" si="11"/>
        <v>3.2894736842105261E-3</v>
      </c>
      <c r="Q113" s="63">
        <f t="shared" si="12"/>
        <v>1778</v>
      </c>
      <c r="R113" s="67">
        <f t="shared" si="13"/>
        <v>2.8740157480314958</v>
      </c>
    </row>
    <row r="114" spans="1:18" x14ac:dyDescent="0.3">
      <c r="A114" s="61">
        <v>46340</v>
      </c>
      <c r="B114" s="62">
        <v>14</v>
      </c>
      <c r="C114" s="62">
        <f t="shared" si="7"/>
        <v>2</v>
      </c>
      <c r="D114" s="62" t="s">
        <v>282</v>
      </c>
      <c r="E114" s="62" t="str">
        <f>INDEX('Media Plan'!$B$5:$B$12,MATCH(D114,'Media Plan'!$A$5:$A$12,0))</f>
        <v>Google PMax</v>
      </c>
      <c r="F114" s="62" t="str">
        <f>INDEX('Media Plan'!$D$5:$D$12,MATCH(D114,'Media Plan'!$A$5:$A$12,0))</f>
        <v>BOFU</v>
      </c>
      <c r="G114" s="63">
        <v>1176</v>
      </c>
      <c r="H114" s="63">
        <v>17270</v>
      </c>
      <c r="I114" s="63">
        <v>271</v>
      </c>
      <c r="J114" s="63">
        <v>8</v>
      </c>
      <c r="K114" s="63">
        <v>0</v>
      </c>
      <c r="L114" s="63">
        <v>0</v>
      </c>
      <c r="M114" s="64">
        <f t="shared" si="8"/>
        <v>1.5691951360741169E-2</v>
      </c>
      <c r="N114" s="65">
        <f t="shared" si="9"/>
        <v>4.3394833948339482</v>
      </c>
      <c r="O114" s="66">
        <f t="shared" si="10"/>
        <v>68.094962362478299</v>
      </c>
      <c r="P114" s="64">
        <f t="shared" si="11"/>
        <v>0</v>
      </c>
      <c r="Q114" s="63" t="str">
        <f t="shared" si="12"/>
        <v>-</v>
      </c>
      <c r="R114" s="67">
        <f t="shared" si="13"/>
        <v>0</v>
      </c>
    </row>
    <row r="115" spans="1:18" x14ac:dyDescent="0.3">
      <c r="A115" s="61">
        <v>46340</v>
      </c>
      <c r="B115" s="62">
        <v>14</v>
      </c>
      <c r="C115" s="62">
        <f t="shared" si="7"/>
        <v>2</v>
      </c>
      <c r="D115" s="62" t="s">
        <v>289</v>
      </c>
      <c r="E115" s="62" t="str">
        <f>INDEX('Media Plan'!$B$5:$B$12,MATCH(D115,'Media Plan'!$A$5:$A$12,0))</f>
        <v>Meta</v>
      </c>
      <c r="F115" s="62" t="str">
        <f>INDEX('Media Plan'!$D$5:$D$12,MATCH(D115,'Media Plan'!$A$5:$A$12,0))</f>
        <v>BOFU</v>
      </c>
      <c r="G115" s="63">
        <v>1344</v>
      </c>
      <c r="H115" s="63">
        <v>14619</v>
      </c>
      <c r="I115" s="63">
        <v>260</v>
      </c>
      <c r="J115" s="63">
        <v>13</v>
      </c>
      <c r="K115" s="63">
        <v>1</v>
      </c>
      <c r="L115" s="63">
        <v>4510</v>
      </c>
      <c r="M115" s="64">
        <f t="shared" si="8"/>
        <v>1.7785074218482796E-2</v>
      </c>
      <c r="N115" s="65">
        <f t="shared" si="9"/>
        <v>5.1692307692307695</v>
      </c>
      <c r="O115" s="66">
        <f t="shared" si="10"/>
        <v>91.935152883234139</v>
      </c>
      <c r="P115" s="64">
        <f t="shared" si="11"/>
        <v>3.8461538461538464E-3</v>
      </c>
      <c r="Q115" s="63">
        <f t="shared" si="12"/>
        <v>1344</v>
      </c>
      <c r="R115" s="67">
        <f t="shared" si="13"/>
        <v>3.3556547619047619</v>
      </c>
    </row>
    <row r="116" spans="1:18" x14ac:dyDescent="0.3">
      <c r="A116" s="61">
        <v>46340</v>
      </c>
      <c r="B116" s="62">
        <v>14</v>
      </c>
      <c r="C116" s="62">
        <f t="shared" si="7"/>
        <v>2</v>
      </c>
      <c r="D116" s="62" t="s">
        <v>296</v>
      </c>
      <c r="E116" s="62" t="str">
        <f>INDEX('Media Plan'!$B$5:$B$12,MATCH(D116,'Media Plan'!$A$5:$A$12,0))</f>
        <v>Email + WhatsApp</v>
      </c>
      <c r="F116" s="62" t="str">
        <f>INDEX('Media Plan'!$D$5:$D$12,MATCH(D116,'Media Plan'!$A$5:$A$12,0))</f>
        <v>CARE</v>
      </c>
      <c r="G116" s="63">
        <v>418</v>
      </c>
      <c r="H116" s="63">
        <v>646</v>
      </c>
      <c r="I116" s="63">
        <v>54</v>
      </c>
      <c r="J116" s="63">
        <v>6</v>
      </c>
      <c r="K116" s="63">
        <v>1</v>
      </c>
      <c r="L116" s="63">
        <v>4410</v>
      </c>
      <c r="M116" s="64">
        <f t="shared" si="8"/>
        <v>8.3591331269349839E-2</v>
      </c>
      <c r="N116" s="65">
        <f t="shared" si="9"/>
        <v>7.7407407407407405</v>
      </c>
      <c r="O116" s="66">
        <f t="shared" si="10"/>
        <v>647.05882352941182</v>
      </c>
      <c r="P116" s="64">
        <f t="shared" si="11"/>
        <v>1.8518518518518517E-2</v>
      </c>
      <c r="Q116" s="63">
        <f t="shared" si="12"/>
        <v>418</v>
      </c>
      <c r="R116" s="67">
        <f t="shared" si="13"/>
        <v>10.55023923444976</v>
      </c>
    </row>
    <row r="117" spans="1:18" x14ac:dyDescent="0.3">
      <c r="A117" s="61">
        <v>46341</v>
      </c>
      <c r="B117" s="62">
        <v>15</v>
      </c>
      <c r="C117" s="62">
        <f t="shared" si="7"/>
        <v>3</v>
      </c>
      <c r="D117" s="62" t="s">
        <v>241</v>
      </c>
      <c r="E117" s="62" t="str">
        <f>INDEX('Media Plan'!$B$5:$B$12,MATCH(D117,'Media Plan'!$A$5:$A$12,0))</f>
        <v>TikTok</v>
      </c>
      <c r="F117" s="62" t="str">
        <f>INDEX('Media Plan'!$D$5:$D$12,MATCH(D117,'Media Plan'!$A$5:$A$12,0))</f>
        <v>TOFU</v>
      </c>
      <c r="G117" s="63">
        <v>1327</v>
      </c>
      <c r="H117" s="63">
        <v>43363</v>
      </c>
      <c r="I117" s="63">
        <v>276</v>
      </c>
      <c r="J117" s="63">
        <v>2</v>
      </c>
      <c r="K117" s="63">
        <v>0</v>
      </c>
      <c r="L117" s="63">
        <v>0</v>
      </c>
      <c r="M117" s="64">
        <f t="shared" si="8"/>
        <v>6.3648732790627955E-3</v>
      </c>
      <c r="N117" s="65">
        <f t="shared" si="9"/>
        <v>4.8079710144927539</v>
      </c>
      <c r="O117" s="66">
        <f t="shared" si="10"/>
        <v>30.602126236653369</v>
      </c>
      <c r="P117" s="64">
        <f t="shared" si="11"/>
        <v>0</v>
      </c>
      <c r="Q117" s="63" t="str">
        <f t="shared" si="12"/>
        <v>-</v>
      </c>
      <c r="R117" s="67">
        <f t="shared" si="13"/>
        <v>0</v>
      </c>
    </row>
    <row r="118" spans="1:18" x14ac:dyDescent="0.3">
      <c r="A118" s="61">
        <v>46341</v>
      </c>
      <c r="B118" s="62">
        <v>15</v>
      </c>
      <c r="C118" s="62">
        <f t="shared" si="7"/>
        <v>3</v>
      </c>
      <c r="D118" s="62" t="s">
        <v>250</v>
      </c>
      <c r="E118" s="62" t="str">
        <f>INDEX('Media Plan'!$B$5:$B$12,MATCH(D118,'Media Plan'!$A$5:$A$12,0))</f>
        <v>YouTube</v>
      </c>
      <c r="F118" s="62" t="str">
        <f>INDEX('Media Plan'!$D$5:$D$12,MATCH(D118,'Media Plan'!$A$5:$A$12,0))</f>
        <v>TOFU</v>
      </c>
      <c r="G118" s="63">
        <v>459</v>
      </c>
      <c r="H118" s="63">
        <v>9811</v>
      </c>
      <c r="I118" s="63">
        <v>28</v>
      </c>
      <c r="J118" s="63">
        <v>0</v>
      </c>
      <c r="K118" s="63">
        <v>0</v>
      </c>
      <c r="L118" s="63">
        <v>0</v>
      </c>
      <c r="M118" s="64">
        <f t="shared" si="8"/>
        <v>2.8539394557129754E-3</v>
      </c>
      <c r="N118" s="65">
        <f t="shared" si="9"/>
        <v>16.392857142857142</v>
      </c>
      <c r="O118" s="66">
        <f t="shared" si="10"/>
        <v>46.784221791866273</v>
      </c>
      <c r="P118" s="64">
        <f t="shared" si="11"/>
        <v>0</v>
      </c>
      <c r="Q118" s="63" t="str">
        <f t="shared" si="12"/>
        <v>-</v>
      </c>
      <c r="R118" s="67">
        <f t="shared" si="13"/>
        <v>0</v>
      </c>
    </row>
    <row r="119" spans="1:18" x14ac:dyDescent="0.3">
      <c r="A119" s="61">
        <v>46341</v>
      </c>
      <c r="B119" s="62">
        <v>15</v>
      </c>
      <c r="C119" s="62">
        <f t="shared" si="7"/>
        <v>3</v>
      </c>
      <c r="D119" s="62" t="s">
        <v>258</v>
      </c>
      <c r="E119" s="62" t="str">
        <f>INDEX('Media Plan'!$B$5:$B$12,MATCH(D119,'Media Plan'!$A$5:$A$12,0))</f>
        <v>Snapchat</v>
      </c>
      <c r="F119" s="62" t="str">
        <f>INDEX('Media Plan'!$D$5:$D$12,MATCH(D119,'Media Plan'!$A$5:$A$12,0))</f>
        <v>MOFU</v>
      </c>
      <c r="G119" s="63">
        <v>428</v>
      </c>
      <c r="H119" s="63">
        <v>17865</v>
      </c>
      <c r="I119" s="63">
        <v>86</v>
      </c>
      <c r="J119" s="63">
        <v>0</v>
      </c>
      <c r="K119" s="63">
        <v>0</v>
      </c>
      <c r="L119" s="63">
        <v>0</v>
      </c>
      <c r="M119" s="64">
        <f t="shared" si="8"/>
        <v>4.8138818919675344E-3</v>
      </c>
      <c r="N119" s="65">
        <f t="shared" si="9"/>
        <v>4.9767441860465116</v>
      </c>
      <c r="O119" s="66">
        <f t="shared" si="10"/>
        <v>23.957458718164009</v>
      </c>
      <c r="P119" s="64">
        <f t="shared" si="11"/>
        <v>0</v>
      </c>
      <c r="Q119" s="63" t="str">
        <f t="shared" si="12"/>
        <v>-</v>
      </c>
      <c r="R119" s="67">
        <f t="shared" si="13"/>
        <v>0</v>
      </c>
    </row>
    <row r="120" spans="1:18" x14ac:dyDescent="0.3">
      <c r="A120" s="61">
        <v>46341</v>
      </c>
      <c r="B120" s="62">
        <v>15</v>
      </c>
      <c r="C120" s="62">
        <f t="shared" si="7"/>
        <v>3</v>
      </c>
      <c r="D120" s="62" t="s">
        <v>266</v>
      </c>
      <c r="E120" s="62" t="str">
        <f>INDEX('Media Plan'!$B$5:$B$12,MATCH(D120,'Media Plan'!$A$5:$A$12,0))</f>
        <v>Meta</v>
      </c>
      <c r="F120" s="62" t="str">
        <f>INDEX('Media Plan'!$D$5:$D$12,MATCH(D120,'Media Plan'!$A$5:$A$12,0))</f>
        <v>MOFU</v>
      </c>
      <c r="G120" s="63">
        <v>1504</v>
      </c>
      <c r="H120" s="63">
        <v>24334</v>
      </c>
      <c r="I120" s="63">
        <v>338</v>
      </c>
      <c r="J120" s="63">
        <v>7</v>
      </c>
      <c r="K120" s="63">
        <v>1</v>
      </c>
      <c r="L120" s="63">
        <v>4720</v>
      </c>
      <c r="M120" s="64">
        <f t="shared" si="8"/>
        <v>1.389003041012575E-2</v>
      </c>
      <c r="N120" s="65">
        <f t="shared" si="9"/>
        <v>4.449704142011834</v>
      </c>
      <c r="O120" s="66">
        <f t="shared" si="10"/>
        <v>61.806525848606888</v>
      </c>
      <c r="P120" s="64">
        <f t="shared" si="11"/>
        <v>2.9585798816568047E-3</v>
      </c>
      <c r="Q120" s="63">
        <f t="shared" si="12"/>
        <v>1504</v>
      </c>
      <c r="R120" s="67">
        <f t="shared" si="13"/>
        <v>3.1382978723404253</v>
      </c>
    </row>
    <row r="121" spans="1:18" x14ac:dyDescent="0.3">
      <c r="A121" s="61">
        <v>46341</v>
      </c>
      <c r="B121" s="62">
        <v>15</v>
      </c>
      <c r="C121" s="62">
        <f t="shared" si="7"/>
        <v>3</v>
      </c>
      <c r="D121" s="62" t="s">
        <v>275</v>
      </c>
      <c r="E121" s="62" t="str">
        <f>INDEX('Media Plan'!$B$5:$B$12,MATCH(D121,'Media Plan'!$A$5:$A$12,0))</f>
        <v>Google Search</v>
      </c>
      <c r="F121" s="62" t="str">
        <f>INDEX('Media Plan'!$D$5:$D$12,MATCH(D121,'Media Plan'!$A$5:$A$12,0))</f>
        <v>BOFU</v>
      </c>
      <c r="G121" s="63">
        <v>1778</v>
      </c>
      <c r="H121" s="63">
        <v>4773</v>
      </c>
      <c r="I121" s="63">
        <v>301</v>
      </c>
      <c r="J121" s="63">
        <v>17</v>
      </c>
      <c r="K121" s="63">
        <v>3</v>
      </c>
      <c r="L121" s="63">
        <v>14870</v>
      </c>
      <c r="M121" s="64">
        <f t="shared" si="8"/>
        <v>6.3063063063063057E-2</v>
      </c>
      <c r="N121" s="65">
        <f t="shared" si="9"/>
        <v>5.9069767441860463</v>
      </c>
      <c r="O121" s="66">
        <f t="shared" si="10"/>
        <v>372.51204693065159</v>
      </c>
      <c r="P121" s="64">
        <f t="shared" si="11"/>
        <v>9.9667774086378731E-3</v>
      </c>
      <c r="Q121" s="63">
        <f t="shared" si="12"/>
        <v>592.66666666666663</v>
      </c>
      <c r="R121" s="67">
        <f t="shared" si="13"/>
        <v>8.3633295838020256</v>
      </c>
    </row>
    <row r="122" spans="1:18" x14ac:dyDescent="0.3">
      <c r="A122" s="61">
        <v>46341</v>
      </c>
      <c r="B122" s="62">
        <v>15</v>
      </c>
      <c r="C122" s="62">
        <f t="shared" si="7"/>
        <v>3</v>
      </c>
      <c r="D122" s="62" t="s">
        <v>282</v>
      </c>
      <c r="E122" s="62" t="str">
        <f>INDEX('Media Plan'!$B$5:$B$12,MATCH(D122,'Media Plan'!$A$5:$A$12,0))</f>
        <v>Google PMax</v>
      </c>
      <c r="F122" s="62" t="str">
        <f>INDEX('Media Plan'!$D$5:$D$12,MATCH(D122,'Media Plan'!$A$5:$A$12,0))</f>
        <v>BOFU</v>
      </c>
      <c r="G122" s="63">
        <v>1182</v>
      </c>
      <c r="H122" s="63">
        <v>15956</v>
      </c>
      <c r="I122" s="63">
        <v>226</v>
      </c>
      <c r="J122" s="63">
        <v>7</v>
      </c>
      <c r="K122" s="63">
        <v>1</v>
      </c>
      <c r="L122" s="63">
        <v>4740</v>
      </c>
      <c r="M122" s="64">
        <f t="shared" si="8"/>
        <v>1.4163950864878415E-2</v>
      </c>
      <c r="N122" s="65">
        <f t="shared" si="9"/>
        <v>5.2300884955752212</v>
      </c>
      <c r="O122" s="66">
        <f t="shared" si="10"/>
        <v>74.078716470293301</v>
      </c>
      <c r="P122" s="64">
        <f t="shared" si="11"/>
        <v>4.4247787610619468E-3</v>
      </c>
      <c r="Q122" s="63">
        <f t="shared" si="12"/>
        <v>1182</v>
      </c>
      <c r="R122" s="67">
        <f t="shared" si="13"/>
        <v>4.0101522842639596</v>
      </c>
    </row>
    <row r="123" spans="1:18" x14ac:dyDescent="0.3">
      <c r="A123" s="61">
        <v>46341</v>
      </c>
      <c r="B123" s="62">
        <v>15</v>
      </c>
      <c r="C123" s="62">
        <f t="shared" si="7"/>
        <v>3</v>
      </c>
      <c r="D123" s="62" t="s">
        <v>289</v>
      </c>
      <c r="E123" s="62" t="str">
        <f>INDEX('Media Plan'!$B$5:$B$12,MATCH(D123,'Media Plan'!$A$5:$A$12,0))</f>
        <v>Meta</v>
      </c>
      <c r="F123" s="62" t="str">
        <f>INDEX('Media Plan'!$D$5:$D$12,MATCH(D123,'Media Plan'!$A$5:$A$12,0))</f>
        <v>BOFU</v>
      </c>
      <c r="G123" s="63">
        <v>1346</v>
      </c>
      <c r="H123" s="63">
        <v>15157</v>
      </c>
      <c r="I123" s="63">
        <v>260</v>
      </c>
      <c r="J123" s="63">
        <v>12</v>
      </c>
      <c r="K123" s="63">
        <v>3</v>
      </c>
      <c r="L123" s="63">
        <v>14040</v>
      </c>
      <c r="M123" s="64">
        <f t="shared" si="8"/>
        <v>1.7153790327901298E-2</v>
      </c>
      <c r="N123" s="65">
        <f t="shared" si="9"/>
        <v>5.1769230769230772</v>
      </c>
      <c r="O123" s="66">
        <f t="shared" si="10"/>
        <v>88.803853005212105</v>
      </c>
      <c r="P123" s="64">
        <f t="shared" si="11"/>
        <v>1.1538461538461539E-2</v>
      </c>
      <c r="Q123" s="63">
        <f t="shared" si="12"/>
        <v>448.66666666666669</v>
      </c>
      <c r="R123" s="67">
        <f t="shared" si="13"/>
        <v>10.430906389301635</v>
      </c>
    </row>
    <row r="124" spans="1:18" x14ac:dyDescent="0.3">
      <c r="A124" s="61">
        <v>46341</v>
      </c>
      <c r="B124" s="62">
        <v>15</v>
      </c>
      <c r="C124" s="62">
        <f t="shared" si="7"/>
        <v>3</v>
      </c>
      <c r="D124" s="62" t="s">
        <v>296</v>
      </c>
      <c r="E124" s="62" t="str">
        <f>INDEX('Media Plan'!$B$5:$B$12,MATCH(D124,'Media Plan'!$A$5:$A$12,0))</f>
        <v>Email + WhatsApp</v>
      </c>
      <c r="F124" s="62" t="str">
        <f>INDEX('Media Plan'!$D$5:$D$12,MATCH(D124,'Media Plan'!$A$5:$A$12,0))</f>
        <v>CARE</v>
      </c>
      <c r="G124" s="63">
        <v>412</v>
      </c>
      <c r="H124" s="63">
        <v>706</v>
      </c>
      <c r="I124" s="63">
        <v>52</v>
      </c>
      <c r="J124" s="63">
        <v>7</v>
      </c>
      <c r="K124" s="63">
        <v>2</v>
      </c>
      <c r="L124" s="63">
        <v>8980</v>
      </c>
      <c r="M124" s="64">
        <f t="shared" si="8"/>
        <v>7.3654390934844188E-2</v>
      </c>
      <c r="N124" s="65">
        <f t="shared" si="9"/>
        <v>7.9230769230769234</v>
      </c>
      <c r="O124" s="66">
        <f t="shared" si="10"/>
        <v>583.56940509915012</v>
      </c>
      <c r="P124" s="64">
        <f t="shared" si="11"/>
        <v>3.8461538461538464E-2</v>
      </c>
      <c r="Q124" s="63">
        <f t="shared" si="12"/>
        <v>206</v>
      </c>
      <c r="R124" s="67">
        <f t="shared" si="13"/>
        <v>21.796116504854368</v>
      </c>
    </row>
    <row r="125" spans="1:18" x14ac:dyDescent="0.3">
      <c r="A125" s="61">
        <v>46342</v>
      </c>
      <c r="B125" s="62">
        <v>16</v>
      </c>
      <c r="C125" s="62">
        <f t="shared" si="7"/>
        <v>3</v>
      </c>
      <c r="D125" s="62" t="s">
        <v>241</v>
      </c>
      <c r="E125" s="62" t="str">
        <f>INDEX('Media Plan'!$B$5:$B$12,MATCH(D125,'Media Plan'!$A$5:$A$12,0))</f>
        <v>TikTok</v>
      </c>
      <c r="F125" s="62" t="str">
        <f>INDEX('Media Plan'!$D$5:$D$12,MATCH(D125,'Media Plan'!$A$5:$A$12,0))</f>
        <v>TOFU</v>
      </c>
      <c r="G125" s="63">
        <v>1312</v>
      </c>
      <c r="H125" s="63">
        <v>41657</v>
      </c>
      <c r="I125" s="63">
        <v>243</v>
      </c>
      <c r="J125" s="63">
        <v>1</v>
      </c>
      <c r="K125" s="63">
        <v>0</v>
      </c>
      <c r="L125" s="63">
        <v>0</v>
      </c>
      <c r="M125" s="64">
        <f t="shared" si="8"/>
        <v>5.8333533379744101E-3</v>
      </c>
      <c r="N125" s="65">
        <f t="shared" si="9"/>
        <v>5.3991769547325106</v>
      </c>
      <c r="O125" s="66">
        <f t="shared" si="10"/>
        <v>31.495306911203397</v>
      </c>
      <c r="P125" s="64">
        <f t="shared" si="11"/>
        <v>0</v>
      </c>
      <c r="Q125" s="63" t="str">
        <f t="shared" si="12"/>
        <v>-</v>
      </c>
      <c r="R125" s="67">
        <f t="shared" si="13"/>
        <v>0</v>
      </c>
    </row>
    <row r="126" spans="1:18" x14ac:dyDescent="0.3">
      <c r="A126" s="61">
        <v>46342</v>
      </c>
      <c r="B126" s="62">
        <v>16</v>
      </c>
      <c r="C126" s="62">
        <f t="shared" si="7"/>
        <v>3</v>
      </c>
      <c r="D126" s="62" t="s">
        <v>250</v>
      </c>
      <c r="E126" s="62" t="str">
        <f>INDEX('Media Plan'!$B$5:$B$12,MATCH(D126,'Media Plan'!$A$5:$A$12,0))</f>
        <v>YouTube</v>
      </c>
      <c r="F126" s="62" t="str">
        <f>INDEX('Media Plan'!$D$5:$D$12,MATCH(D126,'Media Plan'!$A$5:$A$12,0))</f>
        <v>TOFU</v>
      </c>
      <c r="G126" s="63">
        <v>465</v>
      </c>
      <c r="H126" s="63">
        <v>9848</v>
      </c>
      <c r="I126" s="63">
        <v>24</v>
      </c>
      <c r="J126" s="63">
        <v>0</v>
      </c>
      <c r="K126" s="63">
        <v>0</v>
      </c>
      <c r="L126" s="63">
        <v>0</v>
      </c>
      <c r="M126" s="64">
        <f t="shared" si="8"/>
        <v>2.437043054427295E-3</v>
      </c>
      <c r="N126" s="65">
        <f t="shared" si="9"/>
        <v>19.375</v>
      </c>
      <c r="O126" s="66">
        <f t="shared" si="10"/>
        <v>47.217709179528839</v>
      </c>
      <c r="P126" s="64">
        <f t="shared" si="11"/>
        <v>0</v>
      </c>
      <c r="Q126" s="63" t="str">
        <f t="shared" si="12"/>
        <v>-</v>
      </c>
      <c r="R126" s="67">
        <f t="shared" si="13"/>
        <v>0</v>
      </c>
    </row>
    <row r="127" spans="1:18" x14ac:dyDescent="0.3">
      <c r="A127" s="61">
        <v>46342</v>
      </c>
      <c r="B127" s="62">
        <v>16</v>
      </c>
      <c r="C127" s="62">
        <f t="shared" si="7"/>
        <v>3</v>
      </c>
      <c r="D127" s="62" t="s">
        <v>258</v>
      </c>
      <c r="E127" s="62" t="str">
        <f>INDEX('Media Plan'!$B$5:$B$12,MATCH(D127,'Media Plan'!$A$5:$A$12,0))</f>
        <v>Snapchat</v>
      </c>
      <c r="F127" s="62" t="str">
        <f>INDEX('Media Plan'!$D$5:$D$12,MATCH(D127,'Media Plan'!$A$5:$A$12,0))</f>
        <v>MOFU</v>
      </c>
      <c r="G127" s="63">
        <v>454</v>
      </c>
      <c r="H127" s="63">
        <v>17134</v>
      </c>
      <c r="I127" s="63">
        <v>89</v>
      </c>
      <c r="J127" s="63">
        <v>0</v>
      </c>
      <c r="K127" s="63">
        <v>0</v>
      </c>
      <c r="L127" s="63">
        <v>0</v>
      </c>
      <c r="M127" s="64">
        <f t="shared" si="8"/>
        <v>5.1943504143807636E-3</v>
      </c>
      <c r="N127" s="65">
        <f t="shared" si="9"/>
        <v>5.1011235955056176</v>
      </c>
      <c r="O127" s="66">
        <f t="shared" si="10"/>
        <v>26.497023462122094</v>
      </c>
      <c r="P127" s="64">
        <f t="shared" si="11"/>
        <v>0</v>
      </c>
      <c r="Q127" s="63" t="str">
        <f t="shared" si="12"/>
        <v>-</v>
      </c>
      <c r="R127" s="67">
        <f t="shared" si="13"/>
        <v>0</v>
      </c>
    </row>
    <row r="128" spans="1:18" x14ac:dyDescent="0.3">
      <c r="A128" s="61">
        <v>46342</v>
      </c>
      <c r="B128" s="62">
        <v>16</v>
      </c>
      <c r="C128" s="62">
        <f t="shared" si="7"/>
        <v>3</v>
      </c>
      <c r="D128" s="62" t="s">
        <v>266</v>
      </c>
      <c r="E128" s="62" t="str">
        <f>INDEX('Media Plan'!$B$5:$B$12,MATCH(D128,'Media Plan'!$A$5:$A$12,0))</f>
        <v>Meta</v>
      </c>
      <c r="F128" s="62" t="str">
        <f>INDEX('Media Plan'!$D$5:$D$12,MATCH(D128,'Media Plan'!$A$5:$A$12,0))</f>
        <v>MOFU</v>
      </c>
      <c r="G128" s="63">
        <v>1756</v>
      </c>
      <c r="H128" s="63">
        <v>30688</v>
      </c>
      <c r="I128" s="63">
        <v>391</v>
      </c>
      <c r="J128" s="63">
        <v>7</v>
      </c>
      <c r="K128" s="63">
        <v>0</v>
      </c>
      <c r="L128" s="63">
        <v>0</v>
      </c>
      <c r="M128" s="64">
        <f t="shared" si="8"/>
        <v>1.2741136600625652E-2</v>
      </c>
      <c r="N128" s="65">
        <f t="shared" si="9"/>
        <v>4.4910485933503832</v>
      </c>
      <c r="O128" s="66">
        <f t="shared" si="10"/>
        <v>57.221063607924918</v>
      </c>
      <c r="P128" s="64">
        <f t="shared" si="11"/>
        <v>0</v>
      </c>
      <c r="Q128" s="63" t="str">
        <f t="shared" si="12"/>
        <v>-</v>
      </c>
      <c r="R128" s="67">
        <f t="shared" si="13"/>
        <v>0</v>
      </c>
    </row>
    <row r="129" spans="1:18" x14ac:dyDescent="0.3">
      <c r="A129" s="61">
        <v>46342</v>
      </c>
      <c r="B129" s="62">
        <v>16</v>
      </c>
      <c r="C129" s="62">
        <f t="shared" si="7"/>
        <v>3</v>
      </c>
      <c r="D129" s="62" t="s">
        <v>275</v>
      </c>
      <c r="E129" s="62" t="str">
        <f>INDEX('Media Plan'!$B$5:$B$12,MATCH(D129,'Media Plan'!$A$5:$A$12,0))</f>
        <v>Google Search</v>
      </c>
      <c r="F129" s="62" t="str">
        <f>INDEX('Media Plan'!$D$5:$D$12,MATCH(D129,'Media Plan'!$A$5:$A$12,0))</f>
        <v>BOFU</v>
      </c>
      <c r="G129" s="63">
        <v>1778</v>
      </c>
      <c r="H129" s="63">
        <v>4594</v>
      </c>
      <c r="I129" s="63">
        <v>278</v>
      </c>
      <c r="J129" s="63">
        <v>16</v>
      </c>
      <c r="K129" s="63">
        <v>6</v>
      </c>
      <c r="L129" s="63">
        <v>28990</v>
      </c>
      <c r="M129" s="64">
        <f t="shared" si="8"/>
        <v>6.0513713539399216E-2</v>
      </c>
      <c r="N129" s="65">
        <f t="shared" si="9"/>
        <v>6.3956834532374103</v>
      </c>
      <c r="O129" s="66">
        <f t="shared" si="10"/>
        <v>387.02655637788416</v>
      </c>
      <c r="P129" s="64">
        <f t="shared" si="11"/>
        <v>2.1582733812949641E-2</v>
      </c>
      <c r="Q129" s="63">
        <f t="shared" si="12"/>
        <v>296.33333333333331</v>
      </c>
      <c r="R129" s="67">
        <f t="shared" si="13"/>
        <v>16.304836895388078</v>
      </c>
    </row>
    <row r="130" spans="1:18" x14ac:dyDescent="0.3">
      <c r="A130" s="61">
        <v>46342</v>
      </c>
      <c r="B130" s="62">
        <v>16</v>
      </c>
      <c r="C130" s="62">
        <f t="shared" si="7"/>
        <v>3</v>
      </c>
      <c r="D130" s="62" t="s">
        <v>282</v>
      </c>
      <c r="E130" s="62" t="str">
        <f>INDEX('Media Plan'!$B$5:$B$12,MATCH(D130,'Media Plan'!$A$5:$A$12,0))</f>
        <v>Google PMax</v>
      </c>
      <c r="F130" s="62" t="str">
        <f>INDEX('Media Plan'!$D$5:$D$12,MATCH(D130,'Media Plan'!$A$5:$A$12,0))</f>
        <v>BOFU</v>
      </c>
      <c r="G130" s="63">
        <v>1213</v>
      </c>
      <c r="H130" s="63">
        <v>16670</v>
      </c>
      <c r="I130" s="63">
        <v>246</v>
      </c>
      <c r="J130" s="63">
        <v>6</v>
      </c>
      <c r="K130" s="63">
        <v>0</v>
      </c>
      <c r="L130" s="63">
        <v>0</v>
      </c>
      <c r="M130" s="64">
        <f t="shared" si="8"/>
        <v>1.4757048590281943E-2</v>
      </c>
      <c r="N130" s="65">
        <f t="shared" si="9"/>
        <v>4.9308943089430892</v>
      </c>
      <c r="O130" s="66">
        <f t="shared" si="10"/>
        <v>72.765446910617868</v>
      </c>
      <c r="P130" s="64">
        <f t="shared" si="11"/>
        <v>0</v>
      </c>
      <c r="Q130" s="63" t="str">
        <f t="shared" si="12"/>
        <v>-</v>
      </c>
      <c r="R130" s="67">
        <f t="shared" si="13"/>
        <v>0</v>
      </c>
    </row>
    <row r="131" spans="1:18" x14ac:dyDescent="0.3">
      <c r="A131" s="61">
        <v>46342</v>
      </c>
      <c r="B131" s="62">
        <v>16</v>
      </c>
      <c r="C131" s="62">
        <f t="shared" si="7"/>
        <v>3</v>
      </c>
      <c r="D131" s="62" t="s">
        <v>289</v>
      </c>
      <c r="E131" s="62" t="str">
        <f>INDEX('Media Plan'!$B$5:$B$12,MATCH(D131,'Media Plan'!$A$5:$A$12,0))</f>
        <v>Meta</v>
      </c>
      <c r="F131" s="62" t="str">
        <f>INDEX('Media Plan'!$D$5:$D$12,MATCH(D131,'Media Plan'!$A$5:$A$12,0))</f>
        <v>BOFU</v>
      </c>
      <c r="G131" s="63">
        <v>1362</v>
      </c>
      <c r="H131" s="63">
        <v>14810</v>
      </c>
      <c r="I131" s="63">
        <v>276</v>
      </c>
      <c r="J131" s="63">
        <v>13</v>
      </c>
      <c r="K131" s="63">
        <v>1</v>
      </c>
      <c r="L131" s="63">
        <v>4260</v>
      </c>
      <c r="M131" s="64">
        <f t="shared" si="8"/>
        <v>1.8636056718433491E-2</v>
      </c>
      <c r="N131" s="65">
        <f t="shared" si="9"/>
        <v>4.9347826086956523</v>
      </c>
      <c r="O131" s="66">
        <f t="shared" si="10"/>
        <v>91.964888588791354</v>
      </c>
      <c r="P131" s="64">
        <f t="shared" si="11"/>
        <v>3.6231884057971015E-3</v>
      </c>
      <c r="Q131" s="63">
        <f t="shared" si="12"/>
        <v>1362</v>
      </c>
      <c r="R131" s="67">
        <f t="shared" si="13"/>
        <v>3.1277533039647576</v>
      </c>
    </row>
    <row r="132" spans="1:18" x14ac:dyDescent="0.3">
      <c r="A132" s="61">
        <v>46342</v>
      </c>
      <c r="B132" s="62">
        <v>16</v>
      </c>
      <c r="C132" s="62">
        <f t="shared" si="7"/>
        <v>3</v>
      </c>
      <c r="D132" s="62" t="s">
        <v>296</v>
      </c>
      <c r="E132" s="62" t="str">
        <f>INDEX('Media Plan'!$B$5:$B$12,MATCH(D132,'Media Plan'!$A$5:$A$12,0))</f>
        <v>Email + WhatsApp</v>
      </c>
      <c r="F132" s="62" t="str">
        <f>INDEX('Media Plan'!$D$5:$D$12,MATCH(D132,'Media Plan'!$A$5:$A$12,0))</f>
        <v>CARE</v>
      </c>
      <c r="G132" s="63">
        <v>404</v>
      </c>
      <c r="H132" s="63">
        <v>713</v>
      </c>
      <c r="I132" s="63">
        <v>57</v>
      </c>
      <c r="J132" s="63">
        <v>6</v>
      </c>
      <c r="K132" s="63">
        <v>2</v>
      </c>
      <c r="L132" s="63">
        <v>10550</v>
      </c>
      <c r="M132" s="64">
        <f t="shared" si="8"/>
        <v>7.9943899018232817E-2</v>
      </c>
      <c r="N132" s="65">
        <f t="shared" si="9"/>
        <v>7.0877192982456139</v>
      </c>
      <c r="O132" s="66">
        <f t="shared" si="10"/>
        <v>566.61991584852728</v>
      </c>
      <c r="P132" s="64">
        <f t="shared" si="11"/>
        <v>3.5087719298245612E-2</v>
      </c>
      <c r="Q132" s="63">
        <f t="shared" si="12"/>
        <v>202</v>
      </c>
      <c r="R132" s="67">
        <f t="shared" si="13"/>
        <v>26.113861386138613</v>
      </c>
    </row>
    <row r="133" spans="1:18" x14ac:dyDescent="0.3">
      <c r="A133" s="61">
        <v>46343</v>
      </c>
      <c r="B133" s="62">
        <v>17</v>
      </c>
      <c r="C133" s="62">
        <f t="shared" ref="C133:C196" si="14">MIN(4,INT((B133-1)/7)+1)</f>
        <v>3</v>
      </c>
      <c r="D133" s="62" t="s">
        <v>241</v>
      </c>
      <c r="E133" s="62" t="str">
        <f>INDEX('Media Plan'!$B$5:$B$12,MATCH(D133,'Media Plan'!$A$5:$A$12,0))</f>
        <v>TikTok</v>
      </c>
      <c r="F133" s="62" t="str">
        <f>INDEX('Media Plan'!$D$5:$D$12,MATCH(D133,'Media Plan'!$A$5:$A$12,0))</f>
        <v>TOFU</v>
      </c>
      <c r="G133" s="63">
        <v>1172</v>
      </c>
      <c r="H133" s="63">
        <v>36646</v>
      </c>
      <c r="I133" s="63">
        <v>201</v>
      </c>
      <c r="J133" s="63">
        <v>1</v>
      </c>
      <c r="K133" s="63">
        <v>0</v>
      </c>
      <c r="L133" s="63">
        <v>0</v>
      </c>
      <c r="M133" s="64">
        <f t="shared" ref="M133:M196" si="15">IFERROR(I133/H133,0)</f>
        <v>5.4849096763630407E-3</v>
      </c>
      <c r="N133" s="65">
        <f t="shared" ref="N133:N196" si="16">IFERROR(G133/I133,0)</f>
        <v>5.8308457711442783</v>
      </c>
      <c r="O133" s="66">
        <f t="shared" ref="O133:O196" si="17">IFERROR(G133/H133*1000,0)</f>
        <v>31.981662391529767</v>
      </c>
      <c r="P133" s="64">
        <f t="shared" ref="P133:P196" si="18">IFERROR(K133/I133,0)</f>
        <v>0</v>
      </c>
      <c r="Q133" s="63" t="str">
        <f t="shared" ref="Q133:Q196" si="19">IFERROR(G133/K133,"-")</f>
        <v>-</v>
      </c>
      <c r="R133" s="67">
        <f t="shared" ref="R133:R196" si="20">IFERROR(L133/G133,0)</f>
        <v>0</v>
      </c>
    </row>
    <row r="134" spans="1:18" x14ac:dyDescent="0.3">
      <c r="A134" s="61">
        <v>46343</v>
      </c>
      <c r="B134" s="62">
        <v>17</v>
      </c>
      <c r="C134" s="62">
        <f t="shared" si="14"/>
        <v>3</v>
      </c>
      <c r="D134" s="62" t="s">
        <v>250</v>
      </c>
      <c r="E134" s="62" t="str">
        <f>INDEX('Media Plan'!$B$5:$B$12,MATCH(D134,'Media Plan'!$A$5:$A$12,0))</f>
        <v>YouTube</v>
      </c>
      <c r="F134" s="62" t="str">
        <f>INDEX('Media Plan'!$D$5:$D$12,MATCH(D134,'Media Plan'!$A$5:$A$12,0))</f>
        <v>TOFU</v>
      </c>
      <c r="G134" s="63">
        <v>392</v>
      </c>
      <c r="H134" s="63">
        <v>9002</v>
      </c>
      <c r="I134" s="63">
        <v>26</v>
      </c>
      <c r="J134" s="63">
        <v>0</v>
      </c>
      <c r="K134" s="63">
        <v>0</v>
      </c>
      <c r="L134" s="63">
        <v>0</v>
      </c>
      <c r="M134" s="64">
        <f t="shared" si="15"/>
        <v>2.8882470562097314E-3</v>
      </c>
      <c r="N134" s="65">
        <f t="shared" si="16"/>
        <v>15.076923076923077</v>
      </c>
      <c r="O134" s="66">
        <f t="shared" si="17"/>
        <v>43.545878693623642</v>
      </c>
      <c r="P134" s="64">
        <f t="shared" si="18"/>
        <v>0</v>
      </c>
      <c r="Q134" s="63" t="str">
        <f t="shared" si="19"/>
        <v>-</v>
      </c>
      <c r="R134" s="67">
        <f t="shared" si="20"/>
        <v>0</v>
      </c>
    </row>
    <row r="135" spans="1:18" x14ac:dyDescent="0.3">
      <c r="A135" s="61">
        <v>46343</v>
      </c>
      <c r="B135" s="62">
        <v>17</v>
      </c>
      <c r="C135" s="62">
        <f t="shared" si="14"/>
        <v>3</v>
      </c>
      <c r="D135" s="62" t="s">
        <v>258</v>
      </c>
      <c r="E135" s="62" t="str">
        <f>INDEX('Media Plan'!$B$5:$B$12,MATCH(D135,'Media Plan'!$A$5:$A$12,0))</f>
        <v>Snapchat</v>
      </c>
      <c r="F135" s="62" t="str">
        <f>INDEX('Media Plan'!$D$5:$D$12,MATCH(D135,'Media Plan'!$A$5:$A$12,0))</f>
        <v>MOFU</v>
      </c>
      <c r="G135" s="63">
        <v>382</v>
      </c>
      <c r="H135" s="63">
        <v>15423</v>
      </c>
      <c r="I135" s="63">
        <v>78</v>
      </c>
      <c r="J135" s="63">
        <v>0</v>
      </c>
      <c r="K135" s="63">
        <v>0</v>
      </c>
      <c r="L135" s="63">
        <v>0</v>
      </c>
      <c r="M135" s="64">
        <f t="shared" si="15"/>
        <v>5.0573818323283405E-3</v>
      </c>
      <c r="N135" s="65">
        <f t="shared" si="16"/>
        <v>4.8974358974358978</v>
      </c>
      <c r="O135" s="66">
        <f t="shared" si="17"/>
        <v>24.768203332684951</v>
      </c>
      <c r="P135" s="64">
        <f t="shared" si="18"/>
        <v>0</v>
      </c>
      <c r="Q135" s="63" t="str">
        <f t="shared" si="19"/>
        <v>-</v>
      </c>
      <c r="R135" s="67">
        <f t="shared" si="20"/>
        <v>0</v>
      </c>
    </row>
    <row r="136" spans="1:18" x14ac:dyDescent="0.3">
      <c r="A136" s="61">
        <v>46343</v>
      </c>
      <c r="B136" s="62">
        <v>17</v>
      </c>
      <c r="C136" s="62">
        <f t="shared" si="14"/>
        <v>3</v>
      </c>
      <c r="D136" s="62" t="s">
        <v>266</v>
      </c>
      <c r="E136" s="62" t="str">
        <f>INDEX('Media Plan'!$B$5:$B$12,MATCH(D136,'Media Plan'!$A$5:$A$12,0))</f>
        <v>Meta</v>
      </c>
      <c r="F136" s="62" t="str">
        <f>INDEX('Media Plan'!$D$5:$D$12,MATCH(D136,'Media Plan'!$A$5:$A$12,0))</f>
        <v>MOFU</v>
      </c>
      <c r="G136" s="63">
        <v>1636</v>
      </c>
      <c r="H136" s="63">
        <v>28972</v>
      </c>
      <c r="I136" s="63">
        <v>374</v>
      </c>
      <c r="J136" s="63">
        <v>7</v>
      </c>
      <c r="K136" s="63">
        <v>0</v>
      </c>
      <c r="L136" s="63">
        <v>0</v>
      </c>
      <c r="M136" s="64">
        <f t="shared" si="15"/>
        <v>1.2909015601270193E-2</v>
      </c>
      <c r="N136" s="65">
        <f t="shared" si="16"/>
        <v>4.3743315508021388</v>
      </c>
      <c r="O136" s="66">
        <f t="shared" si="17"/>
        <v>56.468314234433251</v>
      </c>
      <c r="P136" s="64">
        <f t="shared" si="18"/>
        <v>0</v>
      </c>
      <c r="Q136" s="63" t="str">
        <f t="shared" si="19"/>
        <v>-</v>
      </c>
      <c r="R136" s="67">
        <f t="shared" si="20"/>
        <v>0</v>
      </c>
    </row>
    <row r="137" spans="1:18" x14ac:dyDescent="0.3">
      <c r="A137" s="61">
        <v>46343</v>
      </c>
      <c r="B137" s="62">
        <v>17</v>
      </c>
      <c r="C137" s="62">
        <f t="shared" si="14"/>
        <v>3</v>
      </c>
      <c r="D137" s="62" t="s">
        <v>275</v>
      </c>
      <c r="E137" s="62" t="str">
        <f>INDEX('Media Plan'!$B$5:$B$12,MATCH(D137,'Media Plan'!$A$5:$A$12,0))</f>
        <v>Google Search</v>
      </c>
      <c r="F137" s="62" t="str">
        <f>INDEX('Media Plan'!$D$5:$D$12,MATCH(D137,'Media Plan'!$A$5:$A$12,0))</f>
        <v>BOFU</v>
      </c>
      <c r="G137" s="63">
        <v>1778</v>
      </c>
      <c r="H137" s="63">
        <v>4952</v>
      </c>
      <c r="I137" s="63">
        <v>292</v>
      </c>
      <c r="J137" s="63">
        <v>15</v>
      </c>
      <c r="K137" s="63">
        <v>5</v>
      </c>
      <c r="L137" s="63">
        <v>23960</v>
      </c>
      <c r="M137" s="64">
        <f t="shared" si="15"/>
        <v>5.8966074313408723E-2</v>
      </c>
      <c r="N137" s="65">
        <f t="shared" si="16"/>
        <v>6.0890410958904111</v>
      </c>
      <c r="O137" s="66">
        <f t="shared" si="17"/>
        <v>359.04684975767367</v>
      </c>
      <c r="P137" s="64">
        <f t="shared" si="18"/>
        <v>1.7123287671232876E-2</v>
      </c>
      <c r="Q137" s="63">
        <f t="shared" si="19"/>
        <v>355.6</v>
      </c>
      <c r="R137" s="67">
        <f t="shared" si="20"/>
        <v>13.475815523059618</v>
      </c>
    </row>
    <row r="138" spans="1:18" x14ac:dyDescent="0.3">
      <c r="A138" s="61">
        <v>46343</v>
      </c>
      <c r="B138" s="62">
        <v>17</v>
      </c>
      <c r="C138" s="62">
        <f t="shared" si="14"/>
        <v>3</v>
      </c>
      <c r="D138" s="62" t="s">
        <v>282</v>
      </c>
      <c r="E138" s="62" t="str">
        <f>INDEX('Media Plan'!$B$5:$B$12,MATCH(D138,'Media Plan'!$A$5:$A$12,0))</f>
        <v>Google PMax</v>
      </c>
      <c r="F138" s="62" t="str">
        <f>INDEX('Media Plan'!$D$5:$D$12,MATCH(D138,'Media Plan'!$A$5:$A$12,0))</f>
        <v>BOFU</v>
      </c>
      <c r="G138" s="63">
        <v>1082</v>
      </c>
      <c r="H138" s="63">
        <v>14518</v>
      </c>
      <c r="I138" s="63">
        <v>207</v>
      </c>
      <c r="J138" s="63">
        <v>5</v>
      </c>
      <c r="K138" s="63">
        <v>2</v>
      </c>
      <c r="L138" s="63">
        <v>10120</v>
      </c>
      <c r="M138" s="64">
        <f t="shared" si="15"/>
        <v>1.4258162281305964E-2</v>
      </c>
      <c r="N138" s="65">
        <f t="shared" si="16"/>
        <v>5.2270531400966185</v>
      </c>
      <c r="O138" s="66">
        <f t="shared" si="17"/>
        <v>74.528171924507504</v>
      </c>
      <c r="P138" s="64">
        <f t="shared" si="18"/>
        <v>9.6618357487922701E-3</v>
      </c>
      <c r="Q138" s="63">
        <f t="shared" si="19"/>
        <v>541</v>
      </c>
      <c r="R138" s="67">
        <f t="shared" si="20"/>
        <v>9.3530499075785585</v>
      </c>
    </row>
    <row r="139" spans="1:18" x14ac:dyDescent="0.3">
      <c r="A139" s="61">
        <v>46343</v>
      </c>
      <c r="B139" s="62">
        <v>17</v>
      </c>
      <c r="C139" s="62">
        <f t="shared" si="14"/>
        <v>3</v>
      </c>
      <c r="D139" s="62" t="s">
        <v>289</v>
      </c>
      <c r="E139" s="62" t="str">
        <f>INDEX('Media Plan'!$B$5:$B$12,MATCH(D139,'Media Plan'!$A$5:$A$12,0))</f>
        <v>Meta</v>
      </c>
      <c r="F139" s="62" t="str">
        <f>INDEX('Media Plan'!$D$5:$D$12,MATCH(D139,'Media Plan'!$A$5:$A$12,0))</f>
        <v>BOFU</v>
      </c>
      <c r="G139" s="63">
        <v>1316</v>
      </c>
      <c r="H139" s="63">
        <v>13710</v>
      </c>
      <c r="I139" s="63">
        <v>260</v>
      </c>
      <c r="J139" s="63">
        <v>11</v>
      </c>
      <c r="K139" s="63">
        <v>3</v>
      </c>
      <c r="L139" s="63">
        <v>13950</v>
      </c>
      <c r="M139" s="64">
        <f t="shared" si="15"/>
        <v>1.8964259664478483E-2</v>
      </c>
      <c r="N139" s="65">
        <f t="shared" si="16"/>
        <v>5.0615384615384613</v>
      </c>
      <c r="O139" s="66">
        <f t="shared" si="17"/>
        <v>95.988329686360331</v>
      </c>
      <c r="P139" s="64">
        <f t="shared" si="18"/>
        <v>1.1538461538461539E-2</v>
      </c>
      <c r="Q139" s="63">
        <f t="shared" si="19"/>
        <v>438.66666666666669</v>
      </c>
      <c r="R139" s="67">
        <f t="shared" si="20"/>
        <v>10.600303951367781</v>
      </c>
    </row>
    <row r="140" spans="1:18" x14ac:dyDescent="0.3">
      <c r="A140" s="61">
        <v>46343</v>
      </c>
      <c r="B140" s="62">
        <v>17</v>
      </c>
      <c r="C140" s="62">
        <f t="shared" si="14"/>
        <v>3</v>
      </c>
      <c r="D140" s="62" t="s">
        <v>296</v>
      </c>
      <c r="E140" s="62" t="str">
        <f>INDEX('Media Plan'!$B$5:$B$12,MATCH(D140,'Media Plan'!$A$5:$A$12,0))</f>
        <v>Email + WhatsApp</v>
      </c>
      <c r="F140" s="62" t="str">
        <f>INDEX('Media Plan'!$D$5:$D$12,MATCH(D140,'Media Plan'!$A$5:$A$12,0))</f>
        <v>CARE</v>
      </c>
      <c r="G140" s="63">
        <v>396</v>
      </c>
      <c r="H140" s="63">
        <v>634</v>
      </c>
      <c r="I140" s="63">
        <v>47</v>
      </c>
      <c r="J140" s="63">
        <v>6</v>
      </c>
      <c r="K140" s="63">
        <v>0</v>
      </c>
      <c r="L140" s="63">
        <v>0</v>
      </c>
      <c r="M140" s="64">
        <f t="shared" si="15"/>
        <v>7.4132492113564666E-2</v>
      </c>
      <c r="N140" s="65">
        <f t="shared" si="16"/>
        <v>8.4255319148936163</v>
      </c>
      <c r="O140" s="66">
        <f t="shared" si="17"/>
        <v>624.60567823343854</v>
      </c>
      <c r="P140" s="64">
        <f t="shared" si="18"/>
        <v>0</v>
      </c>
      <c r="Q140" s="63" t="str">
        <f t="shared" si="19"/>
        <v>-</v>
      </c>
      <c r="R140" s="67">
        <f t="shared" si="20"/>
        <v>0</v>
      </c>
    </row>
    <row r="141" spans="1:18" x14ac:dyDescent="0.3">
      <c r="A141" s="61">
        <v>46344</v>
      </c>
      <c r="B141" s="62">
        <v>18</v>
      </c>
      <c r="C141" s="62">
        <f t="shared" si="14"/>
        <v>3</v>
      </c>
      <c r="D141" s="62" t="s">
        <v>241</v>
      </c>
      <c r="E141" s="62" t="str">
        <f>INDEX('Media Plan'!$B$5:$B$12,MATCH(D141,'Media Plan'!$A$5:$A$12,0))</f>
        <v>TikTok</v>
      </c>
      <c r="F141" s="62" t="str">
        <f>INDEX('Media Plan'!$D$5:$D$12,MATCH(D141,'Media Plan'!$A$5:$A$12,0))</f>
        <v>TOFU</v>
      </c>
      <c r="G141" s="63">
        <v>1391</v>
      </c>
      <c r="H141" s="63">
        <v>46138</v>
      </c>
      <c r="I141" s="63">
        <v>304</v>
      </c>
      <c r="J141" s="63">
        <v>2</v>
      </c>
      <c r="K141" s="63">
        <v>1</v>
      </c>
      <c r="L141" s="63">
        <v>4680</v>
      </c>
      <c r="M141" s="64">
        <f t="shared" si="15"/>
        <v>6.5889288655771811E-3</v>
      </c>
      <c r="N141" s="65">
        <f t="shared" si="16"/>
        <v>4.5756578947368425</v>
      </c>
      <c r="O141" s="66">
        <f t="shared" si="17"/>
        <v>30.148684381637697</v>
      </c>
      <c r="P141" s="64">
        <f t="shared" si="18"/>
        <v>3.2894736842105261E-3</v>
      </c>
      <c r="Q141" s="63">
        <f t="shared" si="19"/>
        <v>1391</v>
      </c>
      <c r="R141" s="67">
        <f t="shared" si="20"/>
        <v>3.3644859813084111</v>
      </c>
    </row>
    <row r="142" spans="1:18" x14ac:dyDescent="0.3">
      <c r="A142" s="61">
        <v>46344</v>
      </c>
      <c r="B142" s="62">
        <v>18</v>
      </c>
      <c r="C142" s="62">
        <f t="shared" si="14"/>
        <v>3</v>
      </c>
      <c r="D142" s="62" t="s">
        <v>250</v>
      </c>
      <c r="E142" s="62" t="str">
        <f>INDEX('Media Plan'!$B$5:$B$12,MATCH(D142,'Media Plan'!$A$5:$A$12,0))</f>
        <v>YouTube</v>
      </c>
      <c r="F142" s="62" t="str">
        <f>INDEX('Media Plan'!$D$5:$D$12,MATCH(D142,'Media Plan'!$A$5:$A$12,0))</f>
        <v>TOFU</v>
      </c>
      <c r="G142" s="63">
        <v>447</v>
      </c>
      <c r="H142" s="63">
        <v>9101</v>
      </c>
      <c r="I142" s="63">
        <v>24</v>
      </c>
      <c r="J142" s="63">
        <v>0</v>
      </c>
      <c r="K142" s="63">
        <v>0</v>
      </c>
      <c r="L142" s="63">
        <v>0</v>
      </c>
      <c r="M142" s="64">
        <f t="shared" si="15"/>
        <v>2.6370728491374573E-3</v>
      </c>
      <c r="N142" s="65">
        <f t="shared" si="16"/>
        <v>18.625</v>
      </c>
      <c r="O142" s="66">
        <f t="shared" si="17"/>
        <v>49.115481815185142</v>
      </c>
      <c r="P142" s="64">
        <f t="shared" si="18"/>
        <v>0</v>
      </c>
      <c r="Q142" s="63" t="str">
        <f t="shared" si="19"/>
        <v>-</v>
      </c>
      <c r="R142" s="67">
        <f t="shared" si="20"/>
        <v>0</v>
      </c>
    </row>
    <row r="143" spans="1:18" x14ac:dyDescent="0.3">
      <c r="A143" s="61">
        <v>46344</v>
      </c>
      <c r="B143" s="62">
        <v>18</v>
      </c>
      <c r="C143" s="62">
        <f t="shared" si="14"/>
        <v>3</v>
      </c>
      <c r="D143" s="62" t="s">
        <v>258</v>
      </c>
      <c r="E143" s="62" t="str">
        <f>INDEX('Media Plan'!$B$5:$B$12,MATCH(D143,'Media Plan'!$A$5:$A$12,0))</f>
        <v>Snapchat</v>
      </c>
      <c r="F143" s="62" t="str">
        <f>INDEX('Media Plan'!$D$5:$D$12,MATCH(D143,'Media Plan'!$A$5:$A$12,0))</f>
        <v>MOFU</v>
      </c>
      <c r="G143" s="63">
        <v>381</v>
      </c>
      <c r="H143" s="63">
        <v>14181</v>
      </c>
      <c r="I143" s="63">
        <v>81</v>
      </c>
      <c r="J143" s="63">
        <v>0</v>
      </c>
      <c r="K143" s="63">
        <v>0</v>
      </c>
      <c r="L143" s="63">
        <v>0</v>
      </c>
      <c r="M143" s="64">
        <f t="shared" si="15"/>
        <v>5.7118679923841764E-3</v>
      </c>
      <c r="N143" s="65">
        <f t="shared" si="16"/>
        <v>4.7037037037037033</v>
      </c>
      <c r="O143" s="66">
        <f t="shared" si="17"/>
        <v>26.866934630844089</v>
      </c>
      <c r="P143" s="64">
        <f t="shared" si="18"/>
        <v>0</v>
      </c>
      <c r="Q143" s="63" t="str">
        <f t="shared" si="19"/>
        <v>-</v>
      </c>
      <c r="R143" s="67">
        <f t="shared" si="20"/>
        <v>0</v>
      </c>
    </row>
    <row r="144" spans="1:18" x14ac:dyDescent="0.3">
      <c r="A144" s="61">
        <v>46344</v>
      </c>
      <c r="B144" s="62">
        <v>18</v>
      </c>
      <c r="C144" s="62">
        <f t="shared" si="14"/>
        <v>3</v>
      </c>
      <c r="D144" s="62" t="s">
        <v>266</v>
      </c>
      <c r="E144" s="62" t="str">
        <f>INDEX('Media Plan'!$B$5:$B$12,MATCH(D144,'Media Plan'!$A$5:$A$12,0))</f>
        <v>Meta</v>
      </c>
      <c r="F144" s="62" t="str">
        <f>INDEX('Media Plan'!$D$5:$D$12,MATCH(D144,'Media Plan'!$A$5:$A$12,0))</f>
        <v>MOFU</v>
      </c>
      <c r="G144" s="63">
        <v>1854</v>
      </c>
      <c r="H144" s="63">
        <v>29670</v>
      </c>
      <c r="I144" s="63">
        <v>332</v>
      </c>
      <c r="J144" s="63">
        <v>6</v>
      </c>
      <c r="K144" s="63">
        <v>1</v>
      </c>
      <c r="L144" s="63">
        <v>4620</v>
      </c>
      <c r="M144" s="64">
        <f t="shared" si="15"/>
        <v>1.1189753960229188E-2</v>
      </c>
      <c r="N144" s="65">
        <f t="shared" si="16"/>
        <v>5.5843373493975905</v>
      </c>
      <c r="O144" s="66">
        <f t="shared" si="17"/>
        <v>62.487360970677457</v>
      </c>
      <c r="P144" s="64">
        <f t="shared" si="18"/>
        <v>3.0120481927710845E-3</v>
      </c>
      <c r="Q144" s="63">
        <f t="shared" si="19"/>
        <v>1854</v>
      </c>
      <c r="R144" s="67">
        <f t="shared" si="20"/>
        <v>2.4919093851132685</v>
      </c>
    </row>
    <row r="145" spans="1:18" x14ac:dyDescent="0.3">
      <c r="A145" s="61">
        <v>46344</v>
      </c>
      <c r="B145" s="62">
        <v>18</v>
      </c>
      <c r="C145" s="62">
        <f t="shared" si="14"/>
        <v>3</v>
      </c>
      <c r="D145" s="62" t="s">
        <v>275</v>
      </c>
      <c r="E145" s="62" t="str">
        <f>INDEX('Media Plan'!$B$5:$B$12,MATCH(D145,'Media Plan'!$A$5:$A$12,0))</f>
        <v>Google Search</v>
      </c>
      <c r="F145" s="62" t="str">
        <f>INDEX('Media Plan'!$D$5:$D$12,MATCH(D145,'Media Plan'!$A$5:$A$12,0))</f>
        <v>BOFU</v>
      </c>
      <c r="G145" s="63">
        <v>1778</v>
      </c>
      <c r="H145" s="63">
        <v>4805</v>
      </c>
      <c r="I145" s="63">
        <v>315</v>
      </c>
      <c r="J145" s="63">
        <v>16</v>
      </c>
      <c r="K145" s="63">
        <v>3</v>
      </c>
      <c r="L145" s="63">
        <v>14110</v>
      </c>
      <c r="M145" s="64">
        <f t="shared" si="15"/>
        <v>6.555671175858481E-2</v>
      </c>
      <c r="N145" s="65">
        <f t="shared" si="16"/>
        <v>5.6444444444444448</v>
      </c>
      <c r="O145" s="66">
        <f t="shared" si="17"/>
        <v>370.03121748178978</v>
      </c>
      <c r="P145" s="64">
        <f t="shared" si="18"/>
        <v>9.5238095238095247E-3</v>
      </c>
      <c r="Q145" s="63">
        <f t="shared" si="19"/>
        <v>592.66666666666663</v>
      </c>
      <c r="R145" s="67">
        <f t="shared" si="20"/>
        <v>7.9358830146231725</v>
      </c>
    </row>
    <row r="146" spans="1:18" x14ac:dyDescent="0.3">
      <c r="A146" s="61">
        <v>46344</v>
      </c>
      <c r="B146" s="62">
        <v>18</v>
      </c>
      <c r="C146" s="62">
        <f t="shared" si="14"/>
        <v>3</v>
      </c>
      <c r="D146" s="62" t="s">
        <v>282</v>
      </c>
      <c r="E146" s="62" t="str">
        <f>INDEX('Media Plan'!$B$5:$B$12,MATCH(D146,'Media Plan'!$A$5:$A$12,0))</f>
        <v>Google PMax</v>
      </c>
      <c r="F146" s="62" t="str">
        <f>INDEX('Media Plan'!$D$5:$D$12,MATCH(D146,'Media Plan'!$A$5:$A$12,0))</f>
        <v>BOFU</v>
      </c>
      <c r="G146" s="63">
        <v>1191</v>
      </c>
      <c r="H146" s="63">
        <v>17808</v>
      </c>
      <c r="I146" s="63">
        <v>239</v>
      </c>
      <c r="J146" s="63">
        <v>6</v>
      </c>
      <c r="K146" s="63">
        <v>2</v>
      </c>
      <c r="L146" s="63">
        <v>9640</v>
      </c>
      <c r="M146" s="64">
        <f t="shared" si="15"/>
        <v>1.3420934411500449E-2</v>
      </c>
      <c r="N146" s="65">
        <f t="shared" si="16"/>
        <v>4.98326359832636</v>
      </c>
      <c r="O146" s="66">
        <f t="shared" si="17"/>
        <v>66.880053908355791</v>
      </c>
      <c r="P146" s="64">
        <f t="shared" si="18"/>
        <v>8.368200836820083E-3</v>
      </c>
      <c r="Q146" s="63">
        <f t="shared" si="19"/>
        <v>595.5</v>
      </c>
      <c r="R146" s="67">
        <f t="shared" si="20"/>
        <v>8.0940386230058774</v>
      </c>
    </row>
    <row r="147" spans="1:18" x14ac:dyDescent="0.3">
      <c r="A147" s="61">
        <v>46344</v>
      </c>
      <c r="B147" s="62">
        <v>18</v>
      </c>
      <c r="C147" s="62">
        <f t="shared" si="14"/>
        <v>3</v>
      </c>
      <c r="D147" s="62" t="s">
        <v>289</v>
      </c>
      <c r="E147" s="62" t="str">
        <f>INDEX('Media Plan'!$B$5:$B$12,MATCH(D147,'Media Plan'!$A$5:$A$12,0))</f>
        <v>Meta</v>
      </c>
      <c r="F147" s="62" t="str">
        <f>INDEX('Media Plan'!$D$5:$D$12,MATCH(D147,'Media Plan'!$A$5:$A$12,0))</f>
        <v>BOFU</v>
      </c>
      <c r="G147" s="63">
        <v>1191</v>
      </c>
      <c r="H147" s="63">
        <v>12631</v>
      </c>
      <c r="I147" s="63">
        <v>198</v>
      </c>
      <c r="J147" s="63">
        <v>9</v>
      </c>
      <c r="K147" s="63">
        <v>1</v>
      </c>
      <c r="L147" s="63">
        <v>5110</v>
      </c>
      <c r="M147" s="64">
        <f t="shared" si="15"/>
        <v>1.5675718470429895E-2</v>
      </c>
      <c r="N147" s="65">
        <f t="shared" si="16"/>
        <v>6.0151515151515156</v>
      </c>
      <c r="O147" s="66">
        <f t="shared" si="17"/>
        <v>94.291821708494965</v>
      </c>
      <c r="P147" s="64">
        <f t="shared" si="18"/>
        <v>5.0505050505050509E-3</v>
      </c>
      <c r="Q147" s="63">
        <f t="shared" si="19"/>
        <v>1191</v>
      </c>
      <c r="R147" s="67">
        <f t="shared" si="20"/>
        <v>4.2905121746431574</v>
      </c>
    </row>
    <row r="148" spans="1:18" x14ac:dyDescent="0.3">
      <c r="A148" s="61">
        <v>46344</v>
      </c>
      <c r="B148" s="62">
        <v>18</v>
      </c>
      <c r="C148" s="62">
        <f t="shared" si="14"/>
        <v>3</v>
      </c>
      <c r="D148" s="62" t="s">
        <v>296</v>
      </c>
      <c r="E148" s="62" t="str">
        <f>INDEX('Media Plan'!$B$5:$B$12,MATCH(D148,'Media Plan'!$A$5:$A$12,0))</f>
        <v>Email + WhatsApp</v>
      </c>
      <c r="F148" s="62" t="str">
        <f>INDEX('Media Plan'!$D$5:$D$12,MATCH(D148,'Media Plan'!$A$5:$A$12,0))</f>
        <v>CARE</v>
      </c>
      <c r="G148" s="63">
        <v>441</v>
      </c>
      <c r="H148" s="63">
        <v>686</v>
      </c>
      <c r="I148" s="63">
        <v>54</v>
      </c>
      <c r="J148" s="63">
        <v>7</v>
      </c>
      <c r="K148" s="63">
        <v>1</v>
      </c>
      <c r="L148" s="63">
        <v>3820</v>
      </c>
      <c r="M148" s="64">
        <f t="shared" si="15"/>
        <v>7.8717201166180764E-2</v>
      </c>
      <c r="N148" s="65">
        <f t="shared" si="16"/>
        <v>8.1666666666666661</v>
      </c>
      <c r="O148" s="66">
        <f t="shared" si="17"/>
        <v>642.85714285714289</v>
      </c>
      <c r="P148" s="64">
        <f t="shared" si="18"/>
        <v>1.8518518518518517E-2</v>
      </c>
      <c r="Q148" s="63">
        <f t="shared" si="19"/>
        <v>441</v>
      </c>
      <c r="R148" s="67">
        <f t="shared" si="20"/>
        <v>8.6621315192743769</v>
      </c>
    </row>
    <row r="149" spans="1:18" x14ac:dyDescent="0.3">
      <c r="A149" s="61">
        <v>46345</v>
      </c>
      <c r="B149" s="62">
        <v>19</v>
      </c>
      <c r="C149" s="62">
        <f t="shared" si="14"/>
        <v>3</v>
      </c>
      <c r="D149" s="62" t="s">
        <v>241</v>
      </c>
      <c r="E149" s="62" t="str">
        <f>INDEX('Media Plan'!$B$5:$B$12,MATCH(D149,'Media Plan'!$A$5:$A$12,0))</f>
        <v>TikTok</v>
      </c>
      <c r="F149" s="62" t="str">
        <f>INDEX('Media Plan'!$D$5:$D$12,MATCH(D149,'Media Plan'!$A$5:$A$12,0))</f>
        <v>TOFU</v>
      </c>
      <c r="G149" s="63">
        <v>1247</v>
      </c>
      <c r="H149" s="63">
        <v>42186</v>
      </c>
      <c r="I149" s="63">
        <v>281</v>
      </c>
      <c r="J149" s="63">
        <v>1</v>
      </c>
      <c r="K149" s="63">
        <v>0</v>
      </c>
      <c r="L149" s="63">
        <v>0</v>
      </c>
      <c r="M149" s="64">
        <f t="shared" si="15"/>
        <v>6.6609775754989803E-3</v>
      </c>
      <c r="N149" s="65">
        <f t="shared" si="16"/>
        <v>4.4377224199288259</v>
      </c>
      <c r="O149" s="66">
        <f t="shared" si="17"/>
        <v>29.559569525434977</v>
      </c>
      <c r="P149" s="64">
        <f t="shared" si="18"/>
        <v>0</v>
      </c>
      <c r="Q149" s="63" t="str">
        <f t="shared" si="19"/>
        <v>-</v>
      </c>
      <c r="R149" s="67">
        <f t="shared" si="20"/>
        <v>0</v>
      </c>
    </row>
    <row r="150" spans="1:18" x14ac:dyDescent="0.3">
      <c r="A150" s="61">
        <v>46345</v>
      </c>
      <c r="B150" s="62">
        <v>19</v>
      </c>
      <c r="C150" s="62">
        <f t="shared" si="14"/>
        <v>3</v>
      </c>
      <c r="D150" s="62" t="s">
        <v>250</v>
      </c>
      <c r="E150" s="62" t="str">
        <f>INDEX('Media Plan'!$B$5:$B$12,MATCH(D150,'Media Plan'!$A$5:$A$12,0))</f>
        <v>YouTube</v>
      </c>
      <c r="F150" s="62" t="str">
        <f>INDEX('Media Plan'!$D$5:$D$12,MATCH(D150,'Media Plan'!$A$5:$A$12,0))</f>
        <v>TOFU</v>
      </c>
      <c r="G150" s="63">
        <v>411</v>
      </c>
      <c r="H150" s="63">
        <v>8113</v>
      </c>
      <c r="I150" s="63">
        <v>24</v>
      </c>
      <c r="J150" s="63">
        <v>0</v>
      </c>
      <c r="K150" s="63">
        <v>0</v>
      </c>
      <c r="L150" s="63">
        <v>0</v>
      </c>
      <c r="M150" s="64">
        <f t="shared" si="15"/>
        <v>2.958215210156539E-3</v>
      </c>
      <c r="N150" s="65">
        <f t="shared" si="16"/>
        <v>17.125</v>
      </c>
      <c r="O150" s="66">
        <f t="shared" si="17"/>
        <v>50.659435473930728</v>
      </c>
      <c r="P150" s="64">
        <f t="shared" si="18"/>
        <v>0</v>
      </c>
      <c r="Q150" s="63" t="str">
        <f t="shared" si="19"/>
        <v>-</v>
      </c>
      <c r="R150" s="67">
        <f t="shared" si="20"/>
        <v>0</v>
      </c>
    </row>
    <row r="151" spans="1:18" x14ac:dyDescent="0.3">
      <c r="A151" s="61">
        <v>46345</v>
      </c>
      <c r="B151" s="62">
        <v>19</v>
      </c>
      <c r="C151" s="62">
        <f t="shared" si="14"/>
        <v>3</v>
      </c>
      <c r="D151" s="62" t="s">
        <v>258</v>
      </c>
      <c r="E151" s="62" t="str">
        <f>INDEX('Media Plan'!$B$5:$B$12,MATCH(D151,'Media Plan'!$A$5:$A$12,0))</f>
        <v>Snapchat</v>
      </c>
      <c r="F151" s="62" t="str">
        <f>INDEX('Media Plan'!$D$5:$D$12,MATCH(D151,'Media Plan'!$A$5:$A$12,0))</f>
        <v>MOFU</v>
      </c>
      <c r="G151" s="63">
        <v>421</v>
      </c>
      <c r="H151" s="63">
        <v>15643</v>
      </c>
      <c r="I151" s="63">
        <v>79</v>
      </c>
      <c r="J151" s="63">
        <v>0</v>
      </c>
      <c r="K151" s="63">
        <v>0</v>
      </c>
      <c r="L151" s="63">
        <v>0</v>
      </c>
      <c r="M151" s="64">
        <f t="shared" si="15"/>
        <v>5.0501821901169849E-3</v>
      </c>
      <c r="N151" s="65">
        <f t="shared" si="16"/>
        <v>5.3291139240506329</v>
      </c>
      <c r="O151" s="66">
        <f t="shared" si="17"/>
        <v>26.912996228344944</v>
      </c>
      <c r="P151" s="64">
        <f t="shared" si="18"/>
        <v>0</v>
      </c>
      <c r="Q151" s="63" t="str">
        <f t="shared" si="19"/>
        <v>-</v>
      </c>
      <c r="R151" s="67">
        <f t="shared" si="20"/>
        <v>0</v>
      </c>
    </row>
    <row r="152" spans="1:18" x14ac:dyDescent="0.3">
      <c r="A152" s="61">
        <v>46345</v>
      </c>
      <c r="B152" s="62">
        <v>19</v>
      </c>
      <c r="C152" s="62">
        <f t="shared" si="14"/>
        <v>3</v>
      </c>
      <c r="D152" s="62" t="s">
        <v>266</v>
      </c>
      <c r="E152" s="62" t="str">
        <f>INDEX('Media Plan'!$B$5:$B$12,MATCH(D152,'Media Plan'!$A$5:$A$12,0))</f>
        <v>Meta</v>
      </c>
      <c r="F152" s="62" t="str">
        <f>INDEX('Media Plan'!$D$5:$D$12,MATCH(D152,'Media Plan'!$A$5:$A$12,0))</f>
        <v>MOFU</v>
      </c>
      <c r="G152" s="63">
        <v>1516</v>
      </c>
      <c r="H152" s="63">
        <v>23796</v>
      </c>
      <c r="I152" s="63">
        <v>263</v>
      </c>
      <c r="J152" s="63">
        <v>5</v>
      </c>
      <c r="K152" s="63">
        <v>1</v>
      </c>
      <c r="L152" s="63">
        <v>3650</v>
      </c>
      <c r="M152" s="64">
        <f t="shared" si="15"/>
        <v>1.1052277693730038E-2</v>
      </c>
      <c r="N152" s="65">
        <f t="shared" si="16"/>
        <v>5.7642585551330798</v>
      </c>
      <c r="O152" s="66">
        <f t="shared" si="17"/>
        <v>63.708186249789883</v>
      </c>
      <c r="P152" s="64">
        <f t="shared" si="18"/>
        <v>3.8022813688212928E-3</v>
      </c>
      <c r="Q152" s="63">
        <f t="shared" si="19"/>
        <v>1516</v>
      </c>
      <c r="R152" s="67">
        <f t="shared" si="20"/>
        <v>2.4076517150395778</v>
      </c>
    </row>
    <row r="153" spans="1:18" x14ac:dyDescent="0.3">
      <c r="A153" s="61">
        <v>46345</v>
      </c>
      <c r="B153" s="62">
        <v>19</v>
      </c>
      <c r="C153" s="62">
        <f t="shared" si="14"/>
        <v>3</v>
      </c>
      <c r="D153" s="62" t="s">
        <v>275</v>
      </c>
      <c r="E153" s="62" t="str">
        <f>INDEX('Media Plan'!$B$5:$B$12,MATCH(D153,'Media Plan'!$A$5:$A$12,0))</f>
        <v>Google Search</v>
      </c>
      <c r="F153" s="62" t="str">
        <f>INDEX('Media Plan'!$D$5:$D$12,MATCH(D153,'Media Plan'!$A$5:$A$12,0))</f>
        <v>BOFU</v>
      </c>
      <c r="G153" s="63">
        <v>1778</v>
      </c>
      <c r="H153" s="63">
        <v>4722</v>
      </c>
      <c r="I153" s="63">
        <v>279</v>
      </c>
      <c r="J153" s="63">
        <v>13</v>
      </c>
      <c r="K153" s="63">
        <v>1</v>
      </c>
      <c r="L153" s="63">
        <v>5320</v>
      </c>
      <c r="M153" s="64">
        <f t="shared" si="15"/>
        <v>5.9085133418043202E-2</v>
      </c>
      <c r="N153" s="65">
        <f t="shared" si="16"/>
        <v>6.3727598566308243</v>
      </c>
      <c r="O153" s="66">
        <f t="shared" si="17"/>
        <v>376.53536637018215</v>
      </c>
      <c r="P153" s="64">
        <f t="shared" si="18"/>
        <v>3.5842293906810036E-3</v>
      </c>
      <c r="Q153" s="63">
        <f t="shared" si="19"/>
        <v>1778</v>
      </c>
      <c r="R153" s="67">
        <f t="shared" si="20"/>
        <v>2.9921259842519685</v>
      </c>
    </row>
    <row r="154" spans="1:18" x14ac:dyDescent="0.3">
      <c r="A154" s="61">
        <v>46345</v>
      </c>
      <c r="B154" s="62">
        <v>19</v>
      </c>
      <c r="C154" s="62">
        <f t="shared" si="14"/>
        <v>3</v>
      </c>
      <c r="D154" s="62" t="s">
        <v>282</v>
      </c>
      <c r="E154" s="62" t="str">
        <f>INDEX('Media Plan'!$B$5:$B$12,MATCH(D154,'Media Plan'!$A$5:$A$12,0))</f>
        <v>Google PMax</v>
      </c>
      <c r="F154" s="62" t="str">
        <f>INDEX('Media Plan'!$D$5:$D$12,MATCH(D154,'Media Plan'!$A$5:$A$12,0))</f>
        <v>BOFU</v>
      </c>
      <c r="G154" s="63">
        <v>1007</v>
      </c>
      <c r="H154" s="63">
        <v>15070</v>
      </c>
      <c r="I154" s="63">
        <v>246</v>
      </c>
      <c r="J154" s="63">
        <v>5</v>
      </c>
      <c r="K154" s="63">
        <v>0</v>
      </c>
      <c r="L154" s="63">
        <v>0</v>
      </c>
      <c r="M154" s="64">
        <f t="shared" si="15"/>
        <v>1.6323822163238223E-2</v>
      </c>
      <c r="N154" s="65">
        <f t="shared" si="16"/>
        <v>4.0934959349593498</v>
      </c>
      <c r="O154" s="66">
        <f t="shared" si="17"/>
        <v>66.821499668214983</v>
      </c>
      <c r="P154" s="64">
        <f t="shared" si="18"/>
        <v>0</v>
      </c>
      <c r="Q154" s="63" t="str">
        <f t="shared" si="19"/>
        <v>-</v>
      </c>
      <c r="R154" s="67">
        <f t="shared" si="20"/>
        <v>0</v>
      </c>
    </row>
    <row r="155" spans="1:18" x14ac:dyDescent="0.3">
      <c r="A155" s="61">
        <v>46345</v>
      </c>
      <c r="B155" s="62">
        <v>19</v>
      </c>
      <c r="C155" s="62">
        <f t="shared" si="14"/>
        <v>3</v>
      </c>
      <c r="D155" s="62" t="s">
        <v>289</v>
      </c>
      <c r="E155" s="62" t="str">
        <f>INDEX('Media Plan'!$B$5:$B$12,MATCH(D155,'Media Plan'!$A$5:$A$12,0))</f>
        <v>Meta</v>
      </c>
      <c r="F155" s="62" t="str">
        <f>INDEX('Media Plan'!$D$5:$D$12,MATCH(D155,'Media Plan'!$A$5:$A$12,0))</f>
        <v>BOFU</v>
      </c>
      <c r="G155" s="63">
        <v>1370</v>
      </c>
      <c r="H155" s="63">
        <v>15634</v>
      </c>
      <c r="I155" s="63">
        <v>291</v>
      </c>
      <c r="J155" s="63">
        <v>12</v>
      </c>
      <c r="K155" s="63">
        <v>1</v>
      </c>
      <c r="L155" s="63">
        <v>3990</v>
      </c>
      <c r="M155" s="64">
        <f t="shared" si="15"/>
        <v>1.8613278751439172E-2</v>
      </c>
      <c r="N155" s="65">
        <f t="shared" si="16"/>
        <v>4.7079037800687287</v>
      </c>
      <c r="O155" s="66">
        <f t="shared" si="17"/>
        <v>87.629525393373413</v>
      </c>
      <c r="P155" s="64">
        <f t="shared" si="18"/>
        <v>3.4364261168384879E-3</v>
      </c>
      <c r="Q155" s="63">
        <f t="shared" si="19"/>
        <v>1370</v>
      </c>
      <c r="R155" s="67">
        <f t="shared" si="20"/>
        <v>2.9124087591240877</v>
      </c>
    </row>
    <row r="156" spans="1:18" x14ac:dyDescent="0.3">
      <c r="A156" s="61">
        <v>46345</v>
      </c>
      <c r="B156" s="62">
        <v>19</v>
      </c>
      <c r="C156" s="62">
        <f t="shared" si="14"/>
        <v>3</v>
      </c>
      <c r="D156" s="62" t="s">
        <v>296</v>
      </c>
      <c r="E156" s="62" t="str">
        <f>INDEX('Media Plan'!$B$5:$B$12,MATCH(D156,'Media Plan'!$A$5:$A$12,0))</f>
        <v>Email + WhatsApp</v>
      </c>
      <c r="F156" s="62" t="str">
        <f>INDEX('Media Plan'!$D$5:$D$12,MATCH(D156,'Media Plan'!$A$5:$A$12,0))</f>
        <v>CARE</v>
      </c>
      <c r="G156" s="63">
        <v>433</v>
      </c>
      <c r="H156" s="63">
        <v>780</v>
      </c>
      <c r="I156" s="63">
        <v>55</v>
      </c>
      <c r="J156" s="63">
        <v>7</v>
      </c>
      <c r="K156" s="63">
        <v>1</v>
      </c>
      <c r="L156" s="63">
        <v>3990</v>
      </c>
      <c r="M156" s="64">
        <f t="shared" si="15"/>
        <v>7.0512820512820512E-2</v>
      </c>
      <c r="N156" s="65">
        <f t="shared" si="16"/>
        <v>7.872727272727273</v>
      </c>
      <c r="O156" s="66">
        <f t="shared" si="17"/>
        <v>555.1282051282052</v>
      </c>
      <c r="P156" s="64">
        <f t="shared" si="18"/>
        <v>1.8181818181818181E-2</v>
      </c>
      <c r="Q156" s="63">
        <f t="shared" si="19"/>
        <v>433</v>
      </c>
      <c r="R156" s="67">
        <f t="shared" si="20"/>
        <v>9.2147806004618946</v>
      </c>
    </row>
    <row r="157" spans="1:18" x14ac:dyDescent="0.3">
      <c r="A157" s="61">
        <v>46346</v>
      </c>
      <c r="B157" s="62">
        <v>20</v>
      </c>
      <c r="C157" s="62">
        <f t="shared" si="14"/>
        <v>3</v>
      </c>
      <c r="D157" s="62" t="s">
        <v>241</v>
      </c>
      <c r="E157" s="62" t="str">
        <f>INDEX('Media Plan'!$B$5:$B$12,MATCH(D157,'Media Plan'!$A$5:$A$12,0))</f>
        <v>TikTok</v>
      </c>
      <c r="F157" s="62" t="str">
        <f>INDEX('Media Plan'!$D$5:$D$12,MATCH(D157,'Media Plan'!$A$5:$A$12,0))</f>
        <v>TOFU</v>
      </c>
      <c r="G157" s="63">
        <v>1116</v>
      </c>
      <c r="H157" s="63">
        <v>35814</v>
      </c>
      <c r="I157" s="63">
        <v>216</v>
      </c>
      <c r="J157" s="63">
        <v>1</v>
      </c>
      <c r="K157" s="63">
        <v>0</v>
      </c>
      <c r="L157" s="63">
        <v>0</v>
      </c>
      <c r="M157" s="64">
        <f t="shared" si="15"/>
        <v>6.0311609984922097E-3</v>
      </c>
      <c r="N157" s="65">
        <f t="shared" si="16"/>
        <v>5.166666666666667</v>
      </c>
      <c r="O157" s="66">
        <f t="shared" si="17"/>
        <v>31.16099849220975</v>
      </c>
      <c r="P157" s="64">
        <f t="shared" si="18"/>
        <v>0</v>
      </c>
      <c r="Q157" s="63" t="str">
        <f t="shared" si="19"/>
        <v>-</v>
      </c>
      <c r="R157" s="67">
        <f t="shared" si="20"/>
        <v>0</v>
      </c>
    </row>
    <row r="158" spans="1:18" x14ac:dyDescent="0.3">
      <c r="A158" s="61">
        <v>46346</v>
      </c>
      <c r="B158" s="62">
        <v>20</v>
      </c>
      <c r="C158" s="62">
        <f t="shared" si="14"/>
        <v>3</v>
      </c>
      <c r="D158" s="62" t="s">
        <v>250</v>
      </c>
      <c r="E158" s="62" t="str">
        <f>INDEX('Media Plan'!$B$5:$B$12,MATCH(D158,'Media Plan'!$A$5:$A$12,0))</f>
        <v>YouTube</v>
      </c>
      <c r="F158" s="62" t="str">
        <f>INDEX('Media Plan'!$D$5:$D$12,MATCH(D158,'Media Plan'!$A$5:$A$12,0))</f>
        <v>TOFU</v>
      </c>
      <c r="G158" s="63">
        <v>444</v>
      </c>
      <c r="H158" s="63">
        <v>9376</v>
      </c>
      <c r="I158" s="63">
        <v>23</v>
      </c>
      <c r="J158" s="63">
        <v>0</v>
      </c>
      <c r="K158" s="63">
        <v>0</v>
      </c>
      <c r="L158" s="63">
        <v>0</v>
      </c>
      <c r="M158" s="64">
        <f t="shared" si="15"/>
        <v>2.4530716723549489E-3</v>
      </c>
      <c r="N158" s="65">
        <f t="shared" si="16"/>
        <v>19.304347826086957</v>
      </c>
      <c r="O158" s="66">
        <f t="shared" si="17"/>
        <v>47.354948805460751</v>
      </c>
      <c r="P158" s="64">
        <f t="shared" si="18"/>
        <v>0</v>
      </c>
      <c r="Q158" s="63" t="str">
        <f t="shared" si="19"/>
        <v>-</v>
      </c>
      <c r="R158" s="67">
        <f t="shared" si="20"/>
        <v>0</v>
      </c>
    </row>
    <row r="159" spans="1:18" x14ac:dyDescent="0.3">
      <c r="A159" s="61">
        <v>46346</v>
      </c>
      <c r="B159" s="62">
        <v>20</v>
      </c>
      <c r="C159" s="62">
        <f t="shared" si="14"/>
        <v>3</v>
      </c>
      <c r="D159" s="62" t="s">
        <v>258</v>
      </c>
      <c r="E159" s="62" t="str">
        <f>INDEX('Media Plan'!$B$5:$B$12,MATCH(D159,'Media Plan'!$A$5:$A$12,0))</f>
        <v>Snapchat</v>
      </c>
      <c r="F159" s="62" t="str">
        <f>INDEX('Media Plan'!$D$5:$D$12,MATCH(D159,'Media Plan'!$A$5:$A$12,0))</f>
        <v>MOFU</v>
      </c>
      <c r="G159" s="63">
        <v>371</v>
      </c>
      <c r="H159" s="63">
        <v>14196</v>
      </c>
      <c r="I159" s="63">
        <v>81</v>
      </c>
      <c r="J159" s="63">
        <v>0</v>
      </c>
      <c r="K159" s="63">
        <v>0</v>
      </c>
      <c r="L159" s="63">
        <v>0</v>
      </c>
      <c r="M159" s="64">
        <f t="shared" si="15"/>
        <v>5.7058326289095521E-3</v>
      </c>
      <c r="N159" s="65">
        <f t="shared" si="16"/>
        <v>4.5802469135802468</v>
      </c>
      <c r="O159" s="66">
        <f t="shared" si="17"/>
        <v>26.134122287968445</v>
      </c>
      <c r="P159" s="64">
        <f t="shared" si="18"/>
        <v>0</v>
      </c>
      <c r="Q159" s="63" t="str">
        <f t="shared" si="19"/>
        <v>-</v>
      </c>
      <c r="R159" s="67">
        <f t="shared" si="20"/>
        <v>0</v>
      </c>
    </row>
    <row r="160" spans="1:18" x14ac:dyDescent="0.3">
      <c r="A160" s="61">
        <v>46346</v>
      </c>
      <c r="B160" s="62">
        <v>20</v>
      </c>
      <c r="C160" s="62">
        <f t="shared" si="14"/>
        <v>3</v>
      </c>
      <c r="D160" s="62" t="s">
        <v>266</v>
      </c>
      <c r="E160" s="62" t="str">
        <f>INDEX('Media Plan'!$B$5:$B$12,MATCH(D160,'Media Plan'!$A$5:$A$12,0))</f>
        <v>Meta</v>
      </c>
      <c r="F160" s="62" t="str">
        <f>INDEX('Media Plan'!$D$5:$D$12,MATCH(D160,'Media Plan'!$A$5:$A$12,0))</f>
        <v>MOFU</v>
      </c>
      <c r="G160" s="63">
        <v>1852</v>
      </c>
      <c r="H160" s="63">
        <v>32595</v>
      </c>
      <c r="I160" s="63">
        <v>351</v>
      </c>
      <c r="J160" s="63">
        <v>7</v>
      </c>
      <c r="K160" s="63">
        <v>1</v>
      </c>
      <c r="L160" s="63">
        <v>5650</v>
      </c>
      <c r="M160" s="64">
        <f t="shared" si="15"/>
        <v>1.0768522779567418E-2</v>
      </c>
      <c r="N160" s="65">
        <f t="shared" si="16"/>
        <v>5.2763532763532766</v>
      </c>
      <c r="O160" s="66">
        <f t="shared" si="17"/>
        <v>56.818530449455437</v>
      </c>
      <c r="P160" s="64">
        <f t="shared" si="18"/>
        <v>2.8490028490028491E-3</v>
      </c>
      <c r="Q160" s="63">
        <f t="shared" si="19"/>
        <v>1852</v>
      </c>
      <c r="R160" s="67">
        <f t="shared" si="20"/>
        <v>3.050755939524838</v>
      </c>
    </row>
    <row r="161" spans="1:18" x14ac:dyDescent="0.3">
      <c r="A161" s="61">
        <v>46346</v>
      </c>
      <c r="B161" s="62">
        <v>20</v>
      </c>
      <c r="C161" s="62">
        <f t="shared" si="14"/>
        <v>3</v>
      </c>
      <c r="D161" s="62" t="s">
        <v>275</v>
      </c>
      <c r="E161" s="62" t="str">
        <f>INDEX('Media Plan'!$B$5:$B$12,MATCH(D161,'Media Plan'!$A$5:$A$12,0))</f>
        <v>Google Search</v>
      </c>
      <c r="F161" s="62" t="str">
        <f>INDEX('Media Plan'!$D$5:$D$12,MATCH(D161,'Media Plan'!$A$5:$A$12,0))</f>
        <v>BOFU</v>
      </c>
      <c r="G161" s="63">
        <v>1778</v>
      </c>
      <c r="H161" s="63">
        <v>5300</v>
      </c>
      <c r="I161" s="63">
        <v>300</v>
      </c>
      <c r="J161" s="63">
        <v>15</v>
      </c>
      <c r="K161" s="63">
        <v>1</v>
      </c>
      <c r="L161" s="63">
        <v>5020</v>
      </c>
      <c r="M161" s="64">
        <f t="shared" si="15"/>
        <v>5.6603773584905662E-2</v>
      </c>
      <c r="N161" s="65">
        <f t="shared" si="16"/>
        <v>5.9266666666666667</v>
      </c>
      <c r="O161" s="66">
        <f t="shared" si="17"/>
        <v>335.47169811320754</v>
      </c>
      <c r="P161" s="64">
        <f t="shared" si="18"/>
        <v>3.3333333333333335E-3</v>
      </c>
      <c r="Q161" s="63">
        <f t="shared" si="19"/>
        <v>1778</v>
      </c>
      <c r="R161" s="67">
        <f t="shared" si="20"/>
        <v>2.8233970753655795</v>
      </c>
    </row>
    <row r="162" spans="1:18" x14ac:dyDescent="0.3">
      <c r="A162" s="61">
        <v>46346</v>
      </c>
      <c r="B162" s="62">
        <v>20</v>
      </c>
      <c r="C162" s="62">
        <f t="shared" si="14"/>
        <v>3</v>
      </c>
      <c r="D162" s="62" t="s">
        <v>282</v>
      </c>
      <c r="E162" s="62" t="str">
        <f>INDEX('Media Plan'!$B$5:$B$12,MATCH(D162,'Media Plan'!$A$5:$A$12,0))</f>
        <v>Google PMax</v>
      </c>
      <c r="F162" s="62" t="str">
        <f>INDEX('Media Plan'!$D$5:$D$12,MATCH(D162,'Media Plan'!$A$5:$A$12,0))</f>
        <v>BOFU</v>
      </c>
      <c r="G162" s="63">
        <v>1096</v>
      </c>
      <c r="H162" s="63">
        <v>16107</v>
      </c>
      <c r="I162" s="63">
        <v>270</v>
      </c>
      <c r="J162" s="63">
        <v>7</v>
      </c>
      <c r="K162" s="63">
        <v>1</v>
      </c>
      <c r="L162" s="63">
        <v>3820</v>
      </c>
      <c r="M162" s="64">
        <f t="shared" si="15"/>
        <v>1.6762898118830322E-2</v>
      </c>
      <c r="N162" s="65">
        <f t="shared" si="16"/>
        <v>4.0592592592592593</v>
      </c>
      <c r="O162" s="66">
        <f t="shared" si="17"/>
        <v>68.044949400881606</v>
      </c>
      <c r="P162" s="64">
        <f t="shared" si="18"/>
        <v>3.7037037037037038E-3</v>
      </c>
      <c r="Q162" s="63">
        <f t="shared" si="19"/>
        <v>1096</v>
      </c>
      <c r="R162" s="67">
        <f t="shared" si="20"/>
        <v>3.4854014598540144</v>
      </c>
    </row>
    <row r="163" spans="1:18" x14ac:dyDescent="0.3">
      <c r="A163" s="61">
        <v>46346</v>
      </c>
      <c r="B163" s="62">
        <v>20</v>
      </c>
      <c r="C163" s="62">
        <f t="shared" si="14"/>
        <v>3</v>
      </c>
      <c r="D163" s="62" t="s">
        <v>289</v>
      </c>
      <c r="E163" s="62" t="str">
        <f>INDEX('Media Plan'!$B$5:$B$12,MATCH(D163,'Media Plan'!$A$5:$A$12,0))</f>
        <v>Meta</v>
      </c>
      <c r="F163" s="62" t="str">
        <f>INDEX('Media Plan'!$D$5:$D$12,MATCH(D163,'Media Plan'!$A$5:$A$12,0))</f>
        <v>BOFU</v>
      </c>
      <c r="G163" s="63">
        <v>1311</v>
      </c>
      <c r="H163" s="63">
        <v>12926</v>
      </c>
      <c r="I163" s="63">
        <v>227</v>
      </c>
      <c r="J163" s="63">
        <v>10</v>
      </c>
      <c r="K163" s="63">
        <v>2</v>
      </c>
      <c r="L163" s="63">
        <v>8470</v>
      </c>
      <c r="M163" s="64">
        <f t="shared" si="15"/>
        <v>1.7561503945536128E-2</v>
      </c>
      <c r="N163" s="65">
        <f t="shared" si="16"/>
        <v>5.7753303964757707</v>
      </c>
      <c r="O163" s="66">
        <f t="shared" si="17"/>
        <v>101.42348754448399</v>
      </c>
      <c r="P163" s="64">
        <f t="shared" si="18"/>
        <v>8.8105726872246704E-3</v>
      </c>
      <c r="Q163" s="63">
        <f t="shared" si="19"/>
        <v>655.5</v>
      </c>
      <c r="R163" s="67">
        <f t="shared" si="20"/>
        <v>6.4607170099160944</v>
      </c>
    </row>
    <row r="164" spans="1:18" x14ac:dyDescent="0.3">
      <c r="A164" s="61">
        <v>46346</v>
      </c>
      <c r="B164" s="62">
        <v>20</v>
      </c>
      <c r="C164" s="62">
        <f t="shared" si="14"/>
        <v>3</v>
      </c>
      <c r="D164" s="62" t="s">
        <v>296</v>
      </c>
      <c r="E164" s="62" t="str">
        <f>INDEX('Media Plan'!$B$5:$B$12,MATCH(D164,'Media Plan'!$A$5:$A$12,0))</f>
        <v>Email + WhatsApp</v>
      </c>
      <c r="F164" s="62" t="str">
        <f>INDEX('Media Plan'!$D$5:$D$12,MATCH(D164,'Media Plan'!$A$5:$A$12,0))</f>
        <v>CARE</v>
      </c>
      <c r="G164" s="63">
        <v>412</v>
      </c>
      <c r="H164" s="63">
        <v>696</v>
      </c>
      <c r="I164" s="63">
        <v>50</v>
      </c>
      <c r="J164" s="63">
        <v>6</v>
      </c>
      <c r="K164" s="63">
        <v>1</v>
      </c>
      <c r="L164" s="63">
        <v>3940</v>
      </c>
      <c r="M164" s="64">
        <f t="shared" si="15"/>
        <v>7.183908045977011E-2</v>
      </c>
      <c r="N164" s="65">
        <f t="shared" si="16"/>
        <v>8.24</v>
      </c>
      <c r="O164" s="66">
        <f t="shared" si="17"/>
        <v>591.9540229885057</v>
      </c>
      <c r="P164" s="64">
        <f t="shared" si="18"/>
        <v>0.02</v>
      </c>
      <c r="Q164" s="63">
        <f t="shared" si="19"/>
        <v>412</v>
      </c>
      <c r="R164" s="67">
        <f t="shared" si="20"/>
        <v>9.5631067961165055</v>
      </c>
    </row>
    <row r="165" spans="1:18" x14ac:dyDescent="0.3">
      <c r="A165" s="61">
        <v>46347</v>
      </c>
      <c r="B165" s="62">
        <v>21</v>
      </c>
      <c r="C165" s="62">
        <f t="shared" si="14"/>
        <v>3</v>
      </c>
      <c r="D165" s="62" t="s">
        <v>241</v>
      </c>
      <c r="E165" s="62" t="str">
        <f>INDEX('Media Plan'!$B$5:$B$12,MATCH(D165,'Media Plan'!$A$5:$A$12,0))</f>
        <v>TikTok</v>
      </c>
      <c r="F165" s="62" t="str">
        <f>INDEX('Media Plan'!$D$5:$D$12,MATCH(D165,'Media Plan'!$A$5:$A$12,0))</f>
        <v>TOFU</v>
      </c>
      <c r="G165" s="63">
        <v>1377</v>
      </c>
      <c r="H165" s="63">
        <v>49315</v>
      </c>
      <c r="I165" s="63">
        <v>319</v>
      </c>
      <c r="J165" s="63">
        <v>1</v>
      </c>
      <c r="K165" s="63">
        <v>0</v>
      </c>
      <c r="L165" s="63">
        <v>0</v>
      </c>
      <c r="M165" s="64">
        <f t="shared" si="15"/>
        <v>6.4686200953056883E-3</v>
      </c>
      <c r="N165" s="65">
        <f t="shared" si="16"/>
        <v>4.3166144200626961</v>
      </c>
      <c r="O165" s="66">
        <f t="shared" si="17"/>
        <v>27.922538781303864</v>
      </c>
      <c r="P165" s="64">
        <f t="shared" si="18"/>
        <v>0</v>
      </c>
      <c r="Q165" s="63" t="str">
        <f t="shared" si="19"/>
        <v>-</v>
      </c>
      <c r="R165" s="67">
        <f t="shared" si="20"/>
        <v>0</v>
      </c>
    </row>
    <row r="166" spans="1:18" x14ac:dyDescent="0.3">
      <c r="A166" s="61">
        <v>46347</v>
      </c>
      <c r="B166" s="62">
        <v>21</v>
      </c>
      <c r="C166" s="62">
        <f t="shared" si="14"/>
        <v>3</v>
      </c>
      <c r="D166" s="62" t="s">
        <v>250</v>
      </c>
      <c r="E166" s="62" t="str">
        <f>INDEX('Media Plan'!$B$5:$B$12,MATCH(D166,'Media Plan'!$A$5:$A$12,0))</f>
        <v>YouTube</v>
      </c>
      <c r="F166" s="62" t="str">
        <f>INDEX('Media Plan'!$D$5:$D$12,MATCH(D166,'Media Plan'!$A$5:$A$12,0))</f>
        <v>TOFU</v>
      </c>
      <c r="G166" s="63">
        <v>441</v>
      </c>
      <c r="H166" s="63">
        <v>8889</v>
      </c>
      <c r="I166" s="63">
        <v>24</v>
      </c>
      <c r="J166" s="63">
        <v>0</v>
      </c>
      <c r="K166" s="63">
        <v>0</v>
      </c>
      <c r="L166" s="63">
        <v>0</v>
      </c>
      <c r="M166" s="64">
        <f t="shared" si="15"/>
        <v>2.6999662504218697E-3</v>
      </c>
      <c r="N166" s="65">
        <f t="shared" si="16"/>
        <v>18.375</v>
      </c>
      <c r="O166" s="66">
        <f t="shared" si="17"/>
        <v>49.611879851501854</v>
      </c>
      <c r="P166" s="64">
        <f t="shared" si="18"/>
        <v>0</v>
      </c>
      <c r="Q166" s="63" t="str">
        <f t="shared" si="19"/>
        <v>-</v>
      </c>
      <c r="R166" s="67">
        <f t="shared" si="20"/>
        <v>0</v>
      </c>
    </row>
    <row r="167" spans="1:18" x14ac:dyDescent="0.3">
      <c r="A167" s="61">
        <v>46347</v>
      </c>
      <c r="B167" s="62">
        <v>21</v>
      </c>
      <c r="C167" s="62">
        <f t="shared" si="14"/>
        <v>3</v>
      </c>
      <c r="D167" s="62" t="s">
        <v>258</v>
      </c>
      <c r="E167" s="62" t="str">
        <f>INDEX('Media Plan'!$B$5:$B$12,MATCH(D167,'Media Plan'!$A$5:$A$12,0))</f>
        <v>Snapchat</v>
      </c>
      <c r="F167" s="62" t="str">
        <f>INDEX('Media Plan'!$D$5:$D$12,MATCH(D167,'Media Plan'!$A$5:$A$12,0))</f>
        <v>MOFU</v>
      </c>
      <c r="G167" s="63">
        <v>400</v>
      </c>
      <c r="H167" s="63">
        <v>17029</v>
      </c>
      <c r="I167" s="63">
        <v>86</v>
      </c>
      <c r="J167" s="63">
        <v>0</v>
      </c>
      <c r="K167" s="63">
        <v>0</v>
      </c>
      <c r="L167" s="63">
        <v>0</v>
      </c>
      <c r="M167" s="64">
        <f t="shared" si="15"/>
        <v>5.050208467907687E-3</v>
      </c>
      <c r="N167" s="65">
        <f t="shared" si="16"/>
        <v>4.6511627906976747</v>
      </c>
      <c r="O167" s="66">
        <f t="shared" si="17"/>
        <v>23.489341711198545</v>
      </c>
      <c r="P167" s="64">
        <f t="shared" si="18"/>
        <v>0</v>
      </c>
      <c r="Q167" s="63" t="str">
        <f t="shared" si="19"/>
        <v>-</v>
      </c>
      <c r="R167" s="67">
        <f t="shared" si="20"/>
        <v>0</v>
      </c>
    </row>
    <row r="168" spans="1:18" x14ac:dyDescent="0.3">
      <c r="A168" s="61">
        <v>46347</v>
      </c>
      <c r="B168" s="62">
        <v>21</v>
      </c>
      <c r="C168" s="62">
        <f t="shared" si="14"/>
        <v>3</v>
      </c>
      <c r="D168" s="62" t="s">
        <v>266</v>
      </c>
      <c r="E168" s="62" t="str">
        <f>INDEX('Media Plan'!$B$5:$B$12,MATCH(D168,'Media Plan'!$A$5:$A$12,0))</f>
        <v>Meta</v>
      </c>
      <c r="F168" s="62" t="str">
        <f>INDEX('Media Plan'!$D$5:$D$12,MATCH(D168,'Media Plan'!$A$5:$A$12,0))</f>
        <v>MOFU</v>
      </c>
      <c r="G168" s="63">
        <v>1814</v>
      </c>
      <c r="H168" s="63">
        <v>28315</v>
      </c>
      <c r="I168" s="63">
        <v>329</v>
      </c>
      <c r="J168" s="63">
        <v>6</v>
      </c>
      <c r="K168" s="63">
        <v>1</v>
      </c>
      <c r="L168" s="63">
        <v>4080</v>
      </c>
      <c r="M168" s="64">
        <f t="shared" si="15"/>
        <v>1.161928306551298E-2</v>
      </c>
      <c r="N168" s="65">
        <f t="shared" si="16"/>
        <v>5.5136778115501519</v>
      </c>
      <c r="O168" s="66">
        <f t="shared" si="17"/>
        <v>64.064983224439345</v>
      </c>
      <c r="P168" s="64">
        <f t="shared" si="18"/>
        <v>3.0395136778115501E-3</v>
      </c>
      <c r="Q168" s="63">
        <f t="shared" si="19"/>
        <v>1814</v>
      </c>
      <c r="R168" s="67">
        <f t="shared" si="20"/>
        <v>2.2491730981256892</v>
      </c>
    </row>
    <row r="169" spans="1:18" x14ac:dyDescent="0.3">
      <c r="A169" s="61">
        <v>46347</v>
      </c>
      <c r="B169" s="62">
        <v>21</v>
      </c>
      <c r="C169" s="62">
        <f t="shared" si="14"/>
        <v>3</v>
      </c>
      <c r="D169" s="62" t="s">
        <v>275</v>
      </c>
      <c r="E169" s="62" t="str">
        <f>INDEX('Media Plan'!$B$5:$B$12,MATCH(D169,'Media Plan'!$A$5:$A$12,0))</f>
        <v>Google Search</v>
      </c>
      <c r="F169" s="62" t="str">
        <f>INDEX('Media Plan'!$D$5:$D$12,MATCH(D169,'Media Plan'!$A$5:$A$12,0))</f>
        <v>BOFU</v>
      </c>
      <c r="G169" s="63">
        <v>1778</v>
      </c>
      <c r="H169" s="63">
        <v>4818</v>
      </c>
      <c r="I169" s="63">
        <v>283</v>
      </c>
      <c r="J169" s="63">
        <v>17</v>
      </c>
      <c r="K169" s="63">
        <v>2</v>
      </c>
      <c r="L169" s="63">
        <v>10310</v>
      </c>
      <c r="M169" s="64">
        <f t="shared" si="15"/>
        <v>5.8738065587380657E-2</v>
      </c>
      <c r="N169" s="65">
        <f t="shared" si="16"/>
        <v>6.2826855123674914</v>
      </c>
      <c r="O169" s="66">
        <f t="shared" si="17"/>
        <v>369.03279369032794</v>
      </c>
      <c r="P169" s="64">
        <f t="shared" si="18"/>
        <v>7.0671378091872791E-3</v>
      </c>
      <c r="Q169" s="63">
        <f t="shared" si="19"/>
        <v>889</v>
      </c>
      <c r="R169" s="67">
        <f t="shared" si="20"/>
        <v>5.7986501687289085</v>
      </c>
    </row>
    <row r="170" spans="1:18" x14ac:dyDescent="0.3">
      <c r="A170" s="61">
        <v>46347</v>
      </c>
      <c r="B170" s="62">
        <v>21</v>
      </c>
      <c r="C170" s="62">
        <f t="shared" si="14"/>
        <v>3</v>
      </c>
      <c r="D170" s="62" t="s">
        <v>282</v>
      </c>
      <c r="E170" s="62" t="str">
        <f>INDEX('Media Plan'!$B$5:$B$12,MATCH(D170,'Media Plan'!$A$5:$A$12,0))</f>
        <v>Google PMax</v>
      </c>
      <c r="F170" s="62" t="str">
        <f>INDEX('Media Plan'!$D$5:$D$12,MATCH(D170,'Media Plan'!$A$5:$A$12,0))</f>
        <v>BOFU</v>
      </c>
      <c r="G170" s="63">
        <v>1173</v>
      </c>
      <c r="H170" s="63">
        <v>15574</v>
      </c>
      <c r="I170" s="63">
        <v>251</v>
      </c>
      <c r="J170" s="63">
        <v>7</v>
      </c>
      <c r="K170" s="63">
        <v>2</v>
      </c>
      <c r="L170" s="63">
        <v>9670</v>
      </c>
      <c r="M170" s="64">
        <f t="shared" si="15"/>
        <v>1.6116604597405933E-2</v>
      </c>
      <c r="N170" s="65">
        <f t="shared" si="16"/>
        <v>4.6733067729083668</v>
      </c>
      <c r="O170" s="66">
        <f t="shared" si="17"/>
        <v>75.31783742134327</v>
      </c>
      <c r="P170" s="64">
        <f t="shared" si="18"/>
        <v>7.9681274900398405E-3</v>
      </c>
      <c r="Q170" s="63">
        <f t="shared" si="19"/>
        <v>586.5</v>
      </c>
      <c r="R170" s="67">
        <f t="shared" si="20"/>
        <v>8.2438192668371695</v>
      </c>
    </row>
    <row r="171" spans="1:18" x14ac:dyDescent="0.3">
      <c r="A171" s="61">
        <v>46347</v>
      </c>
      <c r="B171" s="62">
        <v>21</v>
      </c>
      <c r="C171" s="62">
        <f t="shared" si="14"/>
        <v>3</v>
      </c>
      <c r="D171" s="62" t="s">
        <v>289</v>
      </c>
      <c r="E171" s="62" t="str">
        <f>INDEX('Media Plan'!$B$5:$B$12,MATCH(D171,'Media Plan'!$A$5:$A$12,0))</f>
        <v>Meta</v>
      </c>
      <c r="F171" s="62" t="str">
        <f>INDEX('Media Plan'!$D$5:$D$12,MATCH(D171,'Media Plan'!$A$5:$A$12,0))</f>
        <v>BOFU</v>
      </c>
      <c r="G171" s="63">
        <v>1154</v>
      </c>
      <c r="H171" s="63">
        <v>11546</v>
      </c>
      <c r="I171" s="63">
        <v>184</v>
      </c>
      <c r="J171" s="63">
        <v>9</v>
      </c>
      <c r="K171" s="63">
        <v>1</v>
      </c>
      <c r="L171" s="63">
        <v>4870</v>
      </c>
      <c r="M171" s="64">
        <f t="shared" si="15"/>
        <v>1.5936254980079681E-2</v>
      </c>
      <c r="N171" s="65">
        <f t="shared" si="16"/>
        <v>6.2717391304347823</v>
      </c>
      <c r="O171" s="66">
        <f t="shared" si="17"/>
        <v>99.948033951151913</v>
      </c>
      <c r="P171" s="64">
        <f t="shared" si="18"/>
        <v>5.434782608695652E-3</v>
      </c>
      <c r="Q171" s="63">
        <f t="shared" si="19"/>
        <v>1154</v>
      </c>
      <c r="R171" s="67">
        <f t="shared" si="20"/>
        <v>4.2201039861351823</v>
      </c>
    </row>
    <row r="172" spans="1:18" x14ac:dyDescent="0.3">
      <c r="A172" s="61">
        <v>46347</v>
      </c>
      <c r="B172" s="62">
        <v>21</v>
      </c>
      <c r="C172" s="62">
        <f t="shared" si="14"/>
        <v>3</v>
      </c>
      <c r="D172" s="62" t="s">
        <v>296</v>
      </c>
      <c r="E172" s="62" t="str">
        <f>INDEX('Media Plan'!$B$5:$B$12,MATCH(D172,'Media Plan'!$A$5:$A$12,0))</f>
        <v>Email + WhatsApp</v>
      </c>
      <c r="F172" s="62" t="str">
        <f>INDEX('Media Plan'!$D$5:$D$12,MATCH(D172,'Media Plan'!$A$5:$A$12,0))</f>
        <v>CARE</v>
      </c>
      <c r="G172" s="63">
        <v>407</v>
      </c>
      <c r="H172" s="63">
        <v>719</v>
      </c>
      <c r="I172" s="63">
        <v>59</v>
      </c>
      <c r="J172" s="63">
        <v>8</v>
      </c>
      <c r="K172" s="63">
        <v>0</v>
      </c>
      <c r="L172" s="63">
        <v>0</v>
      </c>
      <c r="M172" s="64">
        <f t="shared" si="15"/>
        <v>8.2058414464534074E-2</v>
      </c>
      <c r="N172" s="65">
        <f t="shared" si="16"/>
        <v>6.898305084745763</v>
      </c>
      <c r="O172" s="66">
        <f t="shared" si="17"/>
        <v>566.06397774687071</v>
      </c>
      <c r="P172" s="64">
        <f t="shared" si="18"/>
        <v>0</v>
      </c>
      <c r="Q172" s="63" t="str">
        <f t="shared" si="19"/>
        <v>-</v>
      </c>
      <c r="R172" s="67">
        <f t="shared" si="20"/>
        <v>0</v>
      </c>
    </row>
    <row r="173" spans="1:18" x14ac:dyDescent="0.3">
      <c r="A173" s="61">
        <v>46348</v>
      </c>
      <c r="B173" s="62">
        <v>22</v>
      </c>
      <c r="C173" s="62">
        <f t="shared" si="14"/>
        <v>4</v>
      </c>
      <c r="D173" s="62" t="s">
        <v>241</v>
      </c>
      <c r="E173" s="62" t="str">
        <f>INDEX('Media Plan'!$B$5:$B$12,MATCH(D173,'Media Plan'!$A$5:$A$12,0))</f>
        <v>TikTok</v>
      </c>
      <c r="F173" s="62" t="str">
        <f>INDEX('Media Plan'!$D$5:$D$12,MATCH(D173,'Media Plan'!$A$5:$A$12,0))</f>
        <v>TOFU</v>
      </c>
      <c r="G173" s="63">
        <v>1165</v>
      </c>
      <c r="H173" s="63">
        <v>39337</v>
      </c>
      <c r="I173" s="63">
        <v>227</v>
      </c>
      <c r="J173" s="63">
        <v>1</v>
      </c>
      <c r="K173" s="63">
        <v>0</v>
      </c>
      <c r="L173" s="63">
        <v>0</v>
      </c>
      <c r="M173" s="64">
        <f t="shared" si="15"/>
        <v>5.7706484988687499E-3</v>
      </c>
      <c r="N173" s="65">
        <f t="shared" si="16"/>
        <v>5.1321585903083697</v>
      </c>
      <c r="O173" s="66">
        <f t="shared" si="17"/>
        <v>29.615883265119354</v>
      </c>
      <c r="P173" s="64">
        <f t="shared" si="18"/>
        <v>0</v>
      </c>
      <c r="Q173" s="63" t="str">
        <f t="shared" si="19"/>
        <v>-</v>
      </c>
      <c r="R173" s="67">
        <f t="shared" si="20"/>
        <v>0</v>
      </c>
    </row>
    <row r="174" spans="1:18" x14ac:dyDescent="0.3">
      <c r="A174" s="61">
        <v>46348</v>
      </c>
      <c r="B174" s="62">
        <v>22</v>
      </c>
      <c r="C174" s="62">
        <f t="shared" si="14"/>
        <v>4</v>
      </c>
      <c r="D174" s="62" t="s">
        <v>250</v>
      </c>
      <c r="E174" s="62" t="str">
        <f>INDEX('Media Plan'!$B$5:$B$12,MATCH(D174,'Media Plan'!$A$5:$A$12,0))</f>
        <v>YouTube</v>
      </c>
      <c r="F174" s="62" t="str">
        <f>INDEX('Media Plan'!$D$5:$D$12,MATCH(D174,'Media Plan'!$A$5:$A$12,0))</f>
        <v>TOFU</v>
      </c>
      <c r="G174" s="63">
        <v>444</v>
      </c>
      <c r="H174" s="63">
        <v>9296</v>
      </c>
      <c r="I174" s="63">
        <v>23</v>
      </c>
      <c r="J174" s="63">
        <v>0</v>
      </c>
      <c r="K174" s="63">
        <v>0</v>
      </c>
      <c r="L174" s="63">
        <v>0</v>
      </c>
      <c r="M174" s="64">
        <f t="shared" si="15"/>
        <v>2.4741824440619622E-3</v>
      </c>
      <c r="N174" s="65">
        <f t="shared" si="16"/>
        <v>19.304347826086957</v>
      </c>
      <c r="O174" s="66">
        <f t="shared" si="17"/>
        <v>47.762478485370053</v>
      </c>
      <c r="P174" s="64">
        <f t="shared" si="18"/>
        <v>0</v>
      </c>
      <c r="Q174" s="63" t="str">
        <f t="shared" si="19"/>
        <v>-</v>
      </c>
      <c r="R174" s="67">
        <f t="shared" si="20"/>
        <v>0</v>
      </c>
    </row>
    <row r="175" spans="1:18" x14ac:dyDescent="0.3">
      <c r="A175" s="61">
        <v>46348</v>
      </c>
      <c r="B175" s="62">
        <v>22</v>
      </c>
      <c r="C175" s="62">
        <f t="shared" si="14"/>
        <v>4</v>
      </c>
      <c r="D175" s="62" t="s">
        <v>258</v>
      </c>
      <c r="E175" s="62" t="str">
        <f>INDEX('Media Plan'!$B$5:$B$12,MATCH(D175,'Media Plan'!$A$5:$A$12,0))</f>
        <v>Snapchat</v>
      </c>
      <c r="F175" s="62" t="str">
        <f>INDEX('Media Plan'!$D$5:$D$12,MATCH(D175,'Media Plan'!$A$5:$A$12,0))</f>
        <v>MOFU</v>
      </c>
      <c r="G175" s="63">
        <v>428</v>
      </c>
      <c r="H175" s="63">
        <v>16656</v>
      </c>
      <c r="I175" s="63">
        <v>83</v>
      </c>
      <c r="J175" s="63">
        <v>0</v>
      </c>
      <c r="K175" s="63">
        <v>0</v>
      </c>
      <c r="L175" s="63">
        <v>0</v>
      </c>
      <c r="M175" s="64">
        <f t="shared" si="15"/>
        <v>4.9831892411143133E-3</v>
      </c>
      <c r="N175" s="65">
        <f t="shared" si="16"/>
        <v>5.1566265060240966</v>
      </c>
      <c r="O175" s="66">
        <f t="shared" si="17"/>
        <v>25.696445725264169</v>
      </c>
      <c r="P175" s="64">
        <f t="shared" si="18"/>
        <v>0</v>
      </c>
      <c r="Q175" s="63" t="str">
        <f t="shared" si="19"/>
        <v>-</v>
      </c>
      <c r="R175" s="67">
        <f t="shared" si="20"/>
        <v>0</v>
      </c>
    </row>
    <row r="176" spans="1:18" x14ac:dyDescent="0.3">
      <c r="A176" s="61">
        <v>46348</v>
      </c>
      <c r="B176" s="62">
        <v>22</v>
      </c>
      <c r="C176" s="62">
        <f t="shared" si="14"/>
        <v>4</v>
      </c>
      <c r="D176" s="62" t="s">
        <v>266</v>
      </c>
      <c r="E176" s="62" t="str">
        <f>INDEX('Media Plan'!$B$5:$B$12,MATCH(D176,'Media Plan'!$A$5:$A$12,0))</f>
        <v>Meta</v>
      </c>
      <c r="F176" s="62" t="str">
        <f>INDEX('Media Plan'!$D$5:$D$12,MATCH(D176,'Media Plan'!$A$5:$A$12,0))</f>
        <v>MOFU</v>
      </c>
      <c r="G176" s="63">
        <v>1643</v>
      </c>
      <c r="H176" s="63">
        <v>27217</v>
      </c>
      <c r="I176" s="63">
        <v>291</v>
      </c>
      <c r="J176" s="63">
        <v>5</v>
      </c>
      <c r="K176" s="63">
        <v>0</v>
      </c>
      <c r="L176" s="63">
        <v>0</v>
      </c>
      <c r="M176" s="64">
        <f t="shared" si="15"/>
        <v>1.069184700738509E-2</v>
      </c>
      <c r="N176" s="65">
        <f t="shared" si="16"/>
        <v>5.6460481099656361</v>
      </c>
      <c r="O176" s="66">
        <f t="shared" si="17"/>
        <v>60.366682588088324</v>
      </c>
      <c r="P176" s="64">
        <f t="shared" si="18"/>
        <v>0</v>
      </c>
      <c r="Q176" s="63" t="str">
        <f t="shared" si="19"/>
        <v>-</v>
      </c>
      <c r="R176" s="67">
        <f t="shared" si="20"/>
        <v>0</v>
      </c>
    </row>
    <row r="177" spans="1:18" x14ac:dyDescent="0.3">
      <c r="A177" s="61">
        <v>46348</v>
      </c>
      <c r="B177" s="62">
        <v>22</v>
      </c>
      <c r="C177" s="62">
        <f t="shared" si="14"/>
        <v>4</v>
      </c>
      <c r="D177" s="62" t="s">
        <v>275</v>
      </c>
      <c r="E177" s="62" t="str">
        <f>INDEX('Media Plan'!$B$5:$B$12,MATCH(D177,'Media Plan'!$A$5:$A$12,0))</f>
        <v>Google Search</v>
      </c>
      <c r="F177" s="62" t="str">
        <f>INDEX('Media Plan'!$D$5:$D$12,MATCH(D177,'Media Plan'!$A$5:$A$12,0))</f>
        <v>BOFU</v>
      </c>
      <c r="G177" s="63">
        <v>1778</v>
      </c>
      <c r="H177" s="63">
        <v>5116</v>
      </c>
      <c r="I177" s="63">
        <v>336</v>
      </c>
      <c r="J177" s="63">
        <v>18</v>
      </c>
      <c r="K177" s="63">
        <v>2</v>
      </c>
      <c r="L177" s="63">
        <v>8570</v>
      </c>
      <c r="M177" s="64">
        <f t="shared" si="15"/>
        <v>6.5676309616888195E-2</v>
      </c>
      <c r="N177" s="65">
        <f t="shared" si="16"/>
        <v>5.291666666666667</v>
      </c>
      <c r="O177" s="66">
        <f t="shared" si="17"/>
        <v>347.53713838936665</v>
      </c>
      <c r="P177" s="64">
        <f t="shared" si="18"/>
        <v>5.9523809523809521E-3</v>
      </c>
      <c r="Q177" s="63">
        <f t="shared" si="19"/>
        <v>889</v>
      </c>
      <c r="R177" s="67">
        <f t="shared" si="20"/>
        <v>4.8200224971878516</v>
      </c>
    </row>
    <row r="178" spans="1:18" x14ac:dyDescent="0.3">
      <c r="A178" s="61">
        <v>46348</v>
      </c>
      <c r="B178" s="62">
        <v>22</v>
      </c>
      <c r="C178" s="62">
        <f t="shared" si="14"/>
        <v>4</v>
      </c>
      <c r="D178" s="62" t="s">
        <v>282</v>
      </c>
      <c r="E178" s="62" t="str">
        <f>INDEX('Media Plan'!$B$5:$B$12,MATCH(D178,'Media Plan'!$A$5:$A$12,0))</f>
        <v>Google PMax</v>
      </c>
      <c r="F178" s="62" t="str">
        <f>INDEX('Media Plan'!$D$5:$D$12,MATCH(D178,'Media Plan'!$A$5:$A$12,0))</f>
        <v>BOFU</v>
      </c>
      <c r="G178" s="63">
        <v>1032</v>
      </c>
      <c r="H178" s="63">
        <v>15457</v>
      </c>
      <c r="I178" s="63">
        <v>212</v>
      </c>
      <c r="J178" s="63">
        <v>5</v>
      </c>
      <c r="K178" s="63">
        <v>0</v>
      </c>
      <c r="L178" s="63">
        <v>0</v>
      </c>
      <c r="M178" s="64">
        <f t="shared" si="15"/>
        <v>1.3715468719673935E-2</v>
      </c>
      <c r="N178" s="65">
        <f t="shared" si="16"/>
        <v>4.867924528301887</v>
      </c>
      <c r="O178" s="66">
        <f t="shared" si="17"/>
        <v>66.765866597658018</v>
      </c>
      <c r="P178" s="64">
        <f t="shared" si="18"/>
        <v>0</v>
      </c>
      <c r="Q178" s="63" t="str">
        <f t="shared" si="19"/>
        <v>-</v>
      </c>
      <c r="R178" s="67">
        <f t="shared" si="20"/>
        <v>0</v>
      </c>
    </row>
    <row r="179" spans="1:18" x14ac:dyDescent="0.3">
      <c r="A179" s="61">
        <v>46348</v>
      </c>
      <c r="B179" s="62">
        <v>22</v>
      </c>
      <c r="C179" s="62">
        <f t="shared" si="14"/>
        <v>4</v>
      </c>
      <c r="D179" s="62" t="s">
        <v>289</v>
      </c>
      <c r="E179" s="62" t="str">
        <f>INDEX('Media Plan'!$B$5:$B$12,MATCH(D179,'Media Plan'!$A$5:$A$12,0))</f>
        <v>Meta</v>
      </c>
      <c r="F179" s="62" t="str">
        <f>INDEX('Media Plan'!$D$5:$D$12,MATCH(D179,'Media Plan'!$A$5:$A$12,0))</f>
        <v>BOFU</v>
      </c>
      <c r="G179" s="63">
        <v>1102</v>
      </c>
      <c r="H179" s="63">
        <v>10861</v>
      </c>
      <c r="I179" s="63">
        <v>165</v>
      </c>
      <c r="J179" s="63">
        <v>7</v>
      </c>
      <c r="K179" s="63">
        <v>1</v>
      </c>
      <c r="L179" s="63">
        <v>5480</v>
      </c>
      <c r="M179" s="64">
        <f t="shared" si="15"/>
        <v>1.519197127336341E-2</v>
      </c>
      <c r="N179" s="65">
        <f t="shared" si="16"/>
        <v>6.6787878787878787</v>
      </c>
      <c r="O179" s="66">
        <f t="shared" si="17"/>
        <v>101.4639535954332</v>
      </c>
      <c r="P179" s="64">
        <f t="shared" si="18"/>
        <v>6.0606060606060606E-3</v>
      </c>
      <c r="Q179" s="63">
        <f t="shared" si="19"/>
        <v>1102</v>
      </c>
      <c r="R179" s="67">
        <f t="shared" si="20"/>
        <v>4.9727767695099816</v>
      </c>
    </row>
    <row r="180" spans="1:18" x14ac:dyDescent="0.3">
      <c r="A180" s="61">
        <v>46348</v>
      </c>
      <c r="B180" s="62">
        <v>22</v>
      </c>
      <c r="C180" s="62">
        <f t="shared" si="14"/>
        <v>4</v>
      </c>
      <c r="D180" s="62" t="s">
        <v>296</v>
      </c>
      <c r="E180" s="62" t="str">
        <f>INDEX('Media Plan'!$B$5:$B$12,MATCH(D180,'Media Plan'!$A$5:$A$12,0))</f>
        <v>Email + WhatsApp</v>
      </c>
      <c r="F180" s="62" t="str">
        <f>INDEX('Media Plan'!$D$5:$D$12,MATCH(D180,'Media Plan'!$A$5:$A$12,0))</f>
        <v>CARE</v>
      </c>
      <c r="G180" s="63">
        <v>447</v>
      </c>
      <c r="H180" s="63">
        <v>799</v>
      </c>
      <c r="I180" s="63">
        <v>69</v>
      </c>
      <c r="J180" s="63">
        <v>8</v>
      </c>
      <c r="K180" s="63">
        <v>0</v>
      </c>
      <c r="L180" s="63">
        <v>0</v>
      </c>
      <c r="M180" s="64">
        <f t="shared" si="15"/>
        <v>8.635794743429287E-2</v>
      </c>
      <c r="N180" s="65">
        <f t="shared" si="16"/>
        <v>6.4782608695652177</v>
      </c>
      <c r="O180" s="66">
        <f t="shared" si="17"/>
        <v>559.44931163954948</v>
      </c>
      <c r="P180" s="64">
        <f t="shared" si="18"/>
        <v>0</v>
      </c>
      <c r="Q180" s="63" t="str">
        <f t="shared" si="19"/>
        <v>-</v>
      </c>
      <c r="R180" s="67">
        <f t="shared" si="20"/>
        <v>0</v>
      </c>
    </row>
    <row r="181" spans="1:18" x14ac:dyDescent="0.3">
      <c r="A181" s="61">
        <v>46349</v>
      </c>
      <c r="B181" s="62">
        <v>23</v>
      </c>
      <c r="C181" s="62">
        <f t="shared" si="14"/>
        <v>4</v>
      </c>
      <c r="D181" s="62" t="s">
        <v>241</v>
      </c>
      <c r="E181" s="62" t="str">
        <f>INDEX('Media Plan'!$B$5:$B$12,MATCH(D181,'Media Plan'!$A$5:$A$12,0))</f>
        <v>TikTok</v>
      </c>
      <c r="F181" s="62" t="str">
        <f>INDEX('Media Plan'!$D$5:$D$12,MATCH(D181,'Media Plan'!$A$5:$A$12,0))</f>
        <v>TOFU</v>
      </c>
      <c r="G181" s="63">
        <v>1376</v>
      </c>
      <c r="H181" s="63">
        <v>43354</v>
      </c>
      <c r="I181" s="63">
        <v>265</v>
      </c>
      <c r="J181" s="63">
        <v>2</v>
      </c>
      <c r="K181" s="63">
        <v>0</v>
      </c>
      <c r="L181" s="63">
        <v>0</v>
      </c>
      <c r="M181" s="64">
        <f t="shared" si="15"/>
        <v>6.1124694376528121E-3</v>
      </c>
      <c r="N181" s="65">
        <f t="shared" si="16"/>
        <v>5.192452830188679</v>
      </c>
      <c r="O181" s="66">
        <f t="shared" si="17"/>
        <v>31.738709230982145</v>
      </c>
      <c r="P181" s="64">
        <f t="shared" si="18"/>
        <v>0</v>
      </c>
      <c r="Q181" s="63" t="str">
        <f t="shared" si="19"/>
        <v>-</v>
      </c>
      <c r="R181" s="67">
        <f t="shared" si="20"/>
        <v>0</v>
      </c>
    </row>
    <row r="182" spans="1:18" x14ac:dyDescent="0.3">
      <c r="A182" s="61">
        <v>46349</v>
      </c>
      <c r="B182" s="62">
        <v>23</v>
      </c>
      <c r="C182" s="62">
        <f t="shared" si="14"/>
        <v>4</v>
      </c>
      <c r="D182" s="62" t="s">
        <v>250</v>
      </c>
      <c r="E182" s="62" t="str">
        <f>INDEX('Media Plan'!$B$5:$B$12,MATCH(D182,'Media Plan'!$A$5:$A$12,0))</f>
        <v>YouTube</v>
      </c>
      <c r="F182" s="62" t="str">
        <f>INDEX('Media Plan'!$D$5:$D$12,MATCH(D182,'Media Plan'!$A$5:$A$12,0))</f>
        <v>TOFU</v>
      </c>
      <c r="G182" s="63">
        <v>408</v>
      </c>
      <c r="H182" s="63">
        <v>9201</v>
      </c>
      <c r="I182" s="63">
        <v>22</v>
      </c>
      <c r="J182" s="63">
        <v>0</v>
      </c>
      <c r="K182" s="63">
        <v>0</v>
      </c>
      <c r="L182" s="63">
        <v>0</v>
      </c>
      <c r="M182" s="64">
        <f t="shared" si="15"/>
        <v>2.3910444516900336E-3</v>
      </c>
      <c r="N182" s="65">
        <f t="shared" si="16"/>
        <v>18.545454545454547</v>
      </c>
      <c r="O182" s="66">
        <f t="shared" si="17"/>
        <v>44.343006194978805</v>
      </c>
      <c r="P182" s="64">
        <f t="shared" si="18"/>
        <v>0</v>
      </c>
      <c r="Q182" s="63" t="str">
        <f t="shared" si="19"/>
        <v>-</v>
      </c>
      <c r="R182" s="67">
        <f t="shared" si="20"/>
        <v>0</v>
      </c>
    </row>
    <row r="183" spans="1:18" x14ac:dyDescent="0.3">
      <c r="A183" s="61">
        <v>46349</v>
      </c>
      <c r="B183" s="62">
        <v>23</v>
      </c>
      <c r="C183" s="62">
        <f t="shared" si="14"/>
        <v>4</v>
      </c>
      <c r="D183" s="62" t="s">
        <v>258</v>
      </c>
      <c r="E183" s="62" t="str">
        <f>INDEX('Media Plan'!$B$5:$B$12,MATCH(D183,'Media Plan'!$A$5:$A$12,0))</f>
        <v>Snapchat</v>
      </c>
      <c r="F183" s="62" t="str">
        <f>INDEX('Media Plan'!$D$5:$D$12,MATCH(D183,'Media Plan'!$A$5:$A$12,0))</f>
        <v>MOFU</v>
      </c>
      <c r="G183" s="63">
        <v>428</v>
      </c>
      <c r="H183" s="63">
        <v>16256</v>
      </c>
      <c r="I183" s="63">
        <v>94</v>
      </c>
      <c r="J183" s="63">
        <v>0</v>
      </c>
      <c r="K183" s="63">
        <v>0</v>
      </c>
      <c r="L183" s="63">
        <v>0</v>
      </c>
      <c r="M183" s="64">
        <f t="shared" si="15"/>
        <v>5.7824803149606301E-3</v>
      </c>
      <c r="N183" s="65">
        <f t="shared" si="16"/>
        <v>4.5531914893617023</v>
      </c>
      <c r="O183" s="66">
        <f t="shared" si="17"/>
        <v>26.328740157480315</v>
      </c>
      <c r="P183" s="64">
        <f t="shared" si="18"/>
        <v>0</v>
      </c>
      <c r="Q183" s="63" t="str">
        <f t="shared" si="19"/>
        <v>-</v>
      </c>
      <c r="R183" s="67">
        <f t="shared" si="20"/>
        <v>0</v>
      </c>
    </row>
    <row r="184" spans="1:18" x14ac:dyDescent="0.3">
      <c r="A184" s="61">
        <v>46349</v>
      </c>
      <c r="B184" s="62">
        <v>23</v>
      </c>
      <c r="C184" s="62">
        <f t="shared" si="14"/>
        <v>4</v>
      </c>
      <c r="D184" s="62" t="s">
        <v>266</v>
      </c>
      <c r="E184" s="62" t="str">
        <f>INDEX('Media Plan'!$B$5:$B$12,MATCH(D184,'Media Plan'!$A$5:$A$12,0))</f>
        <v>Meta</v>
      </c>
      <c r="F184" s="62" t="str">
        <f>INDEX('Media Plan'!$D$5:$D$12,MATCH(D184,'Media Plan'!$A$5:$A$12,0))</f>
        <v>MOFU</v>
      </c>
      <c r="G184" s="63">
        <v>1564</v>
      </c>
      <c r="H184" s="63">
        <v>24321</v>
      </c>
      <c r="I184" s="63">
        <v>238</v>
      </c>
      <c r="J184" s="63">
        <v>4</v>
      </c>
      <c r="K184" s="63">
        <v>0</v>
      </c>
      <c r="L184" s="63">
        <v>0</v>
      </c>
      <c r="M184" s="64">
        <f t="shared" si="15"/>
        <v>9.7857818346285107E-3</v>
      </c>
      <c r="N184" s="65">
        <f t="shared" si="16"/>
        <v>6.5714285714285712</v>
      </c>
      <c r="O184" s="66">
        <f t="shared" si="17"/>
        <v>64.306566341844487</v>
      </c>
      <c r="P184" s="64">
        <f t="shared" si="18"/>
        <v>0</v>
      </c>
      <c r="Q184" s="63" t="str">
        <f t="shared" si="19"/>
        <v>-</v>
      </c>
      <c r="R184" s="67">
        <f t="shared" si="20"/>
        <v>0</v>
      </c>
    </row>
    <row r="185" spans="1:18" x14ac:dyDescent="0.3">
      <c r="A185" s="61">
        <v>46349</v>
      </c>
      <c r="B185" s="62">
        <v>23</v>
      </c>
      <c r="C185" s="62">
        <f t="shared" si="14"/>
        <v>4</v>
      </c>
      <c r="D185" s="62" t="s">
        <v>275</v>
      </c>
      <c r="E185" s="62" t="str">
        <f>INDEX('Media Plan'!$B$5:$B$12,MATCH(D185,'Media Plan'!$A$5:$A$12,0))</f>
        <v>Google Search</v>
      </c>
      <c r="F185" s="62" t="str">
        <f>INDEX('Media Plan'!$D$5:$D$12,MATCH(D185,'Media Plan'!$A$5:$A$12,0))</f>
        <v>BOFU</v>
      </c>
      <c r="G185" s="63">
        <v>1778</v>
      </c>
      <c r="H185" s="63">
        <v>5069</v>
      </c>
      <c r="I185" s="63">
        <v>307</v>
      </c>
      <c r="J185" s="63">
        <v>17</v>
      </c>
      <c r="K185" s="63">
        <v>2</v>
      </c>
      <c r="L185" s="63">
        <v>10030</v>
      </c>
      <c r="M185" s="64">
        <f t="shared" si="15"/>
        <v>6.0564213848885384E-2</v>
      </c>
      <c r="N185" s="65">
        <f t="shared" si="16"/>
        <v>5.7915309446254071</v>
      </c>
      <c r="O185" s="66">
        <f t="shared" si="17"/>
        <v>350.75951864273031</v>
      </c>
      <c r="P185" s="64">
        <f t="shared" si="18"/>
        <v>6.5146579804560263E-3</v>
      </c>
      <c r="Q185" s="63">
        <f t="shared" si="19"/>
        <v>889</v>
      </c>
      <c r="R185" s="67">
        <f t="shared" si="20"/>
        <v>5.6411698537682788</v>
      </c>
    </row>
    <row r="186" spans="1:18" x14ac:dyDescent="0.3">
      <c r="A186" s="61">
        <v>46349</v>
      </c>
      <c r="B186" s="62">
        <v>23</v>
      </c>
      <c r="C186" s="62">
        <f t="shared" si="14"/>
        <v>4</v>
      </c>
      <c r="D186" s="62" t="s">
        <v>282</v>
      </c>
      <c r="E186" s="62" t="str">
        <f>INDEX('Media Plan'!$B$5:$B$12,MATCH(D186,'Media Plan'!$A$5:$A$12,0))</f>
        <v>Google PMax</v>
      </c>
      <c r="F186" s="62" t="str">
        <f>INDEX('Media Plan'!$D$5:$D$12,MATCH(D186,'Media Plan'!$A$5:$A$12,0))</f>
        <v>BOFU</v>
      </c>
      <c r="G186" s="63">
        <v>1142</v>
      </c>
      <c r="H186" s="63">
        <v>15522</v>
      </c>
      <c r="I186" s="63">
        <v>250</v>
      </c>
      <c r="J186" s="63">
        <v>6</v>
      </c>
      <c r="K186" s="63">
        <v>0</v>
      </c>
      <c r="L186" s="63">
        <v>0</v>
      </c>
      <c r="M186" s="64">
        <f t="shared" si="15"/>
        <v>1.6106171885066356E-2</v>
      </c>
      <c r="N186" s="65">
        <f t="shared" si="16"/>
        <v>4.5679999999999996</v>
      </c>
      <c r="O186" s="66">
        <f t="shared" si="17"/>
        <v>73.572993170983125</v>
      </c>
      <c r="P186" s="64">
        <f t="shared" si="18"/>
        <v>0</v>
      </c>
      <c r="Q186" s="63" t="str">
        <f t="shared" si="19"/>
        <v>-</v>
      </c>
      <c r="R186" s="67">
        <f t="shared" si="20"/>
        <v>0</v>
      </c>
    </row>
    <row r="187" spans="1:18" x14ac:dyDescent="0.3">
      <c r="A187" s="61">
        <v>46349</v>
      </c>
      <c r="B187" s="62">
        <v>23</v>
      </c>
      <c r="C187" s="62">
        <f t="shared" si="14"/>
        <v>4</v>
      </c>
      <c r="D187" s="62" t="s">
        <v>289</v>
      </c>
      <c r="E187" s="62" t="str">
        <f>INDEX('Media Plan'!$B$5:$B$12,MATCH(D187,'Media Plan'!$A$5:$A$12,0))</f>
        <v>Meta</v>
      </c>
      <c r="F187" s="62" t="str">
        <f>INDEX('Media Plan'!$D$5:$D$12,MATCH(D187,'Media Plan'!$A$5:$A$12,0))</f>
        <v>BOFU</v>
      </c>
      <c r="G187" s="63">
        <v>1159</v>
      </c>
      <c r="H187" s="63">
        <v>11588</v>
      </c>
      <c r="I187" s="63">
        <v>200</v>
      </c>
      <c r="J187" s="63">
        <v>10</v>
      </c>
      <c r="K187" s="63">
        <v>1</v>
      </c>
      <c r="L187" s="63">
        <v>4710</v>
      </c>
      <c r="M187" s="64">
        <f t="shared" si="15"/>
        <v>1.7259233690024162E-2</v>
      </c>
      <c r="N187" s="65">
        <f t="shared" si="16"/>
        <v>5.7949999999999999</v>
      </c>
      <c r="O187" s="66">
        <f t="shared" si="17"/>
        <v>100.01725923369003</v>
      </c>
      <c r="P187" s="64">
        <f t="shared" si="18"/>
        <v>5.0000000000000001E-3</v>
      </c>
      <c r="Q187" s="63">
        <f t="shared" si="19"/>
        <v>1159</v>
      </c>
      <c r="R187" s="67">
        <f t="shared" si="20"/>
        <v>4.0638481449525452</v>
      </c>
    </row>
    <row r="188" spans="1:18" x14ac:dyDescent="0.3">
      <c r="A188" s="61">
        <v>46349</v>
      </c>
      <c r="B188" s="62">
        <v>23</v>
      </c>
      <c r="C188" s="62">
        <f t="shared" si="14"/>
        <v>4</v>
      </c>
      <c r="D188" s="62" t="s">
        <v>296</v>
      </c>
      <c r="E188" s="62" t="str">
        <f>INDEX('Media Plan'!$B$5:$B$12,MATCH(D188,'Media Plan'!$A$5:$A$12,0))</f>
        <v>Email + WhatsApp</v>
      </c>
      <c r="F188" s="62" t="str">
        <f>INDEX('Media Plan'!$D$5:$D$12,MATCH(D188,'Media Plan'!$A$5:$A$12,0))</f>
        <v>CARE</v>
      </c>
      <c r="G188" s="63">
        <v>442</v>
      </c>
      <c r="H188" s="63">
        <v>707</v>
      </c>
      <c r="I188" s="63">
        <v>56</v>
      </c>
      <c r="J188" s="63">
        <v>8</v>
      </c>
      <c r="K188" s="63">
        <v>3</v>
      </c>
      <c r="L188" s="63">
        <v>12700</v>
      </c>
      <c r="M188" s="64">
        <f t="shared" si="15"/>
        <v>7.9207920792079209E-2</v>
      </c>
      <c r="N188" s="65">
        <f t="shared" si="16"/>
        <v>7.8928571428571432</v>
      </c>
      <c r="O188" s="66">
        <f t="shared" si="17"/>
        <v>625.17680339462527</v>
      </c>
      <c r="P188" s="64">
        <f t="shared" si="18"/>
        <v>5.3571428571428568E-2</v>
      </c>
      <c r="Q188" s="63">
        <f t="shared" si="19"/>
        <v>147.33333333333334</v>
      </c>
      <c r="R188" s="67">
        <f t="shared" si="20"/>
        <v>28.733031674208146</v>
      </c>
    </row>
    <row r="189" spans="1:18" x14ac:dyDescent="0.3">
      <c r="A189" s="61">
        <v>46350</v>
      </c>
      <c r="B189" s="62">
        <v>24</v>
      </c>
      <c r="C189" s="62">
        <f t="shared" si="14"/>
        <v>4</v>
      </c>
      <c r="D189" s="62" t="s">
        <v>241</v>
      </c>
      <c r="E189" s="62" t="str">
        <f>INDEX('Media Plan'!$B$5:$B$12,MATCH(D189,'Media Plan'!$A$5:$A$12,0))</f>
        <v>TikTok</v>
      </c>
      <c r="F189" s="62" t="str">
        <f>INDEX('Media Plan'!$D$5:$D$12,MATCH(D189,'Media Plan'!$A$5:$A$12,0))</f>
        <v>TOFU</v>
      </c>
      <c r="G189" s="63">
        <v>1233</v>
      </c>
      <c r="H189" s="63">
        <v>42438</v>
      </c>
      <c r="I189" s="63">
        <v>241</v>
      </c>
      <c r="J189" s="63">
        <v>1</v>
      </c>
      <c r="K189" s="63">
        <v>0</v>
      </c>
      <c r="L189" s="63">
        <v>0</v>
      </c>
      <c r="M189" s="64">
        <f t="shared" si="15"/>
        <v>5.6788727084216978E-3</v>
      </c>
      <c r="N189" s="65">
        <f t="shared" si="16"/>
        <v>5.1161825726141075</v>
      </c>
      <c r="O189" s="66">
        <f t="shared" si="17"/>
        <v>29.054149582920967</v>
      </c>
      <c r="P189" s="64">
        <f t="shared" si="18"/>
        <v>0</v>
      </c>
      <c r="Q189" s="63" t="str">
        <f t="shared" si="19"/>
        <v>-</v>
      </c>
      <c r="R189" s="67">
        <f t="shared" si="20"/>
        <v>0</v>
      </c>
    </row>
    <row r="190" spans="1:18" x14ac:dyDescent="0.3">
      <c r="A190" s="61">
        <v>46350</v>
      </c>
      <c r="B190" s="62">
        <v>24</v>
      </c>
      <c r="C190" s="62">
        <f t="shared" si="14"/>
        <v>4</v>
      </c>
      <c r="D190" s="62" t="s">
        <v>250</v>
      </c>
      <c r="E190" s="62" t="str">
        <f>INDEX('Media Plan'!$B$5:$B$12,MATCH(D190,'Media Plan'!$A$5:$A$12,0))</f>
        <v>YouTube</v>
      </c>
      <c r="F190" s="62" t="str">
        <f>INDEX('Media Plan'!$D$5:$D$12,MATCH(D190,'Media Plan'!$A$5:$A$12,0))</f>
        <v>TOFU</v>
      </c>
      <c r="G190" s="63">
        <v>398</v>
      </c>
      <c r="H190" s="63">
        <v>8488</v>
      </c>
      <c r="I190" s="63">
        <v>20</v>
      </c>
      <c r="J190" s="63">
        <v>0</v>
      </c>
      <c r="K190" s="63">
        <v>0</v>
      </c>
      <c r="L190" s="63">
        <v>0</v>
      </c>
      <c r="M190" s="64">
        <f t="shared" si="15"/>
        <v>2.3562676720075399E-3</v>
      </c>
      <c r="N190" s="65">
        <f t="shared" si="16"/>
        <v>19.899999999999999</v>
      </c>
      <c r="O190" s="66">
        <f t="shared" si="17"/>
        <v>46.889726672950047</v>
      </c>
      <c r="P190" s="64">
        <f t="shared" si="18"/>
        <v>0</v>
      </c>
      <c r="Q190" s="63" t="str">
        <f t="shared" si="19"/>
        <v>-</v>
      </c>
      <c r="R190" s="67">
        <f t="shared" si="20"/>
        <v>0</v>
      </c>
    </row>
    <row r="191" spans="1:18" x14ac:dyDescent="0.3">
      <c r="A191" s="61">
        <v>46350</v>
      </c>
      <c r="B191" s="62">
        <v>24</v>
      </c>
      <c r="C191" s="62">
        <f t="shared" si="14"/>
        <v>4</v>
      </c>
      <c r="D191" s="62" t="s">
        <v>258</v>
      </c>
      <c r="E191" s="62" t="str">
        <f>INDEX('Media Plan'!$B$5:$B$12,MATCH(D191,'Media Plan'!$A$5:$A$12,0))</f>
        <v>Snapchat</v>
      </c>
      <c r="F191" s="62" t="str">
        <f>INDEX('Media Plan'!$D$5:$D$12,MATCH(D191,'Media Plan'!$A$5:$A$12,0))</f>
        <v>MOFU</v>
      </c>
      <c r="G191" s="63">
        <v>453</v>
      </c>
      <c r="H191" s="63">
        <v>17145</v>
      </c>
      <c r="I191" s="63">
        <v>92</v>
      </c>
      <c r="J191" s="63">
        <v>0</v>
      </c>
      <c r="K191" s="63">
        <v>0</v>
      </c>
      <c r="L191" s="63">
        <v>0</v>
      </c>
      <c r="M191" s="64">
        <f t="shared" si="15"/>
        <v>5.3659959171770194E-3</v>
      </c>
      <c r="N191" s="65">
        <f t="shared" si="16"/>
        <v>4.9239130434782608</v>
      </c>
      <c r="O191" s="66">
        <f t="shared" si="17"/>
        <v>26.42169728783902</v>
      </c>
      <c r="P191" s="64">
        <f t="shared" si="18"/>
        <v>0</v>
      </c>
      <c r="Q191" s="63" t="str">
        <f t="shared" si="19"/>
        <v>-</v>
      </c>
      <c r="R191" s="67">
        <f t="shared" si="20"/>
        <v>0</v>
      </c>
    </row>
    <row r="192" spans="1:18" x14ac:dyDescent="0.3">
      <c r="A192" s="61">
        <v>46350</v>
      </c>
      <c r="B192" s="62">
        <v>24</v>
      </c>
      <c r="C192" s="62">
        <f t="shared" si="14"/>
        <v>4</v>
      </c>
      <c r="D192" s="62" t="s">
        <v>266</v>
      </c>
      <c r="E192" s="62" t="str">
        <f>INDEX('Media Plan'!$B$5:$B$12,MATCH(D192,'Media Plan'!$A$5:$A$12,0))</f>
        <v>Meta</v>
      </c>
      <c r="F192" s="62" t="str">
        <f>INDEX('Media Plan'!$D$5:$D$12,MATCH(D192,'Media Plan'!$A$5:$A$12,0))</f>
        <v>MOFU</v>
      </c>
      <c r="G192" s="63">
        <v>1688</v>
      </c>
      <c r="H192" s="63">
        <v>25133</v>
      </c>
      <c r="I192" s="63">
        <v>257</v>
      </c>
      <c r="J192" s="63">
        <v>5</v>
      </c>
      <c r="K192" s="63">
        <v>1</v>
      </c>
      <c r="L192" s="63">
        <v>4320</v>
      </c>
      <c r="M192" s="64">
        <f t="shared" si="15"/>
        <v>1.0225599809016035E-2</v>
      </c>
      <c r="N192" s="65">
        <f t="shared" si="16"/>
        <v>6.5680933852140075</v>
      </c>
      <c r="O192" s="66">
        <f t="shared" si="17"/>
        <v>67.162694465443849</v>
      </c>
      <c r="P192" s="64">
        <f t="shared" si="18"/>
        <v>3.8910505836575876E-3</v>
      </c>
      <c r="Q192" s="63">
        <f t="shared" si="19"/>
        <v>1688</v>
      </c>
      <c r="R192" s="67">
        <f t="shared" si="20"/>
        <v>2.5592417061611372</v>
      </c>
    </row>
    <row r="193" spans="1:18" x14ac:dyDescent="0.3">
      <c r="A193" s="61">
        <v>46350</v>
      </c>
      <c r="B193" s="62">
        <v>24</v>
      </c>
      <c r="C193" s="62">
        <f t="shared" si="14"/>
        <v>4</v>
      </c>
      <c r="D193" s="62" t="s">
        <v>275</v>
      </c>
      <c r="E193" s="62" t="str">
        <f>INDEX('Media Plan'!$B$5:$B$12,MATCH(D193,'Media Plan'!$A$5:$A$12,0))</f>
        <v>Google Search</v>
      </c>
      <c r="F193" s="62" t="str">
        <f>INDEX('Media Plan'!$D$5:$D$12,MATCH(D193,'Media Plan'!$A$5:$A$12,0))</f>
        <v>BOFU</v>
      </c>
      <c r="G193" s="63">
        <v>1778</v>
      </c>
      <c r="H193" s="63">
        <v>4958</v>
      </c>
      <c r="I193" s="63">
        <v>286</v>
      </c>
      <c r="J193" s="63">
        <v>13</v>
      </c>
      <c r="K193" s="63">
        <v>0</v>
      </c>
      <c r="L193" s="63">
        <v>0</v>
      </c>
      <c r="M193" s="64">
        <f t="shared" si="15"/>
        <v>5.7684550221863654E-2</v>
      </c>
      <c r="N193" s="65">
        <f t="shared" si="16"/>
        <v>6.2167832167832167</v>
      </c>
      <c r="O193" s="66">
        <f t="shared" si="17"/>
        <v>358.61234368697052</v>
      </c>
      <c r="P193" s="64">
        <f t="shared" si="18"/>
        <v>0</v>
      </c>
      <c r="Q193" s="63" t="str">
        <f t="shared" si="19"/>
        <v>-</v>
      </c>
      <c r="R193" s="67">
        <f t="shared" si="20"/>
        <v>0</v>
      </c>
    </row>
    <row r="194" spans="1:18" x14ac:dyDescent="0.3">
      <c r="A194" s="61">
        <v>46350</v>
      </c>
      <c r="B194" s="62">
        <v>24</v>
      </c>
      <c r="C194" s="62">
        <f t="shared" si="14"/>
        <v>4</v>
      </c>
      <c r="D194" s="62" t="s">
        <v>282</v>
      </c>
      <c r="E194" s="62" t="str">
        <f>INDEX('Media Plan'!$B$5:$B$12,MATCH(D194,'Media Plan'!$A$5:$A$12,0))</f>
        <v>Google PMax</v>
      </c>
      <c r="F194" s="62" t="str">
        <f>INDEX('Media Plan'!$D$5:$D$12,MATCH(D194,'Media Plan'!$A$5:$A$12,0))</f>
        <v>BOFU</v>
      </c>
      <c r="G194" s="63">
        <v>1187</v>
      </c>
      <c r="H194" s="63">
        <v>17392</v>
      </c>
      <c r="I194" s="63">
        <v>274</v>
      </c>
      <c r="J194" s="63">
        <v>6</v>
      </c>
      <c r="K194" s="63">
        <v>1</v>
      </c>
      <c r="L194" s="63">
        <v>4580</v>
      </c>
      <c r="M194" s="64">
        <f t="shared" si="15"/>
        <v>1.575436982520699E-2</v>
      </c>
      <c r="N194" s="65">
        <f t="shared" si="16"/>
        <v>4.3321167883211675</v>
      </c>
      <c r="O194" s="66">
        <f t="shared" si="17"/>
        <v>68.249770009199622</v>
      </c>
      <c r="P194" s="64">
        <f t="shared" si="18"/>
        <v>3.6496350364963502E-3</v>
      </c>
      <c r="Q194" s="63">
        <f t="shared" si="19"/>
        <v>1187</v>
      </c>
      <c r="R194" s="67">
        <f t="shared" si="20"/>
        <v>3.8584667228306655</v>
      </c>
    </row>
    <row r="195" spans="1:18" x14ac:dyDescent="0.3">
      <c r="A195" s="61">
        <v>46350</v>
      </c>
      <c r="B195" s="62">
        <v>24</v>
      </c>
      <c r="C195" s="62">
        <f t="shared" si="14"/>
        <v>4</v>
      </c>
      <c r="D195" s="62" t="s">
        <v>289</v>
      </c>
      <c r="E195" s="62" t="str">
        <f>INDEX('Media Plan'!$B$5:$B$12,MATCH(D195,'Media Plan'!$A$5:$A$12,0))</f>
        <v>Meta</v>
      </c>
      <c r="F195" s="62" t="str">
        <f>INDEX('Media Plan'!$D$5:$D$12,MATCH(D195,'Media Plan'!$A$5:$A$12,0))</f>
        <v>BOFU</v>
      </c>
      <c r="G195" s="63">
        <v>1232</v>
      </c>
      <c r="H195" s="63">
        <v>12374</v>
      </c>
      <c r="I195" s="63">
        <v>182</v>
      </c>
      <c r="J195" s="63">
        <v>8</v>
      </c>
      <c r="K195" s="63">
        <v>1</v>
      </c>
      <c r="L195" s="63">
        <v>4360</v>
      </c>
      <c r="M195" s="64">
        <f t="shared" si="15"/>
        <v>1.4708259253272992E-2</v>
      </c>
      <c r="N195" s="65">
        <f t="shared" si="16"/>
        <v>6.7692307692307692</v>
      </c>
      <c r="O195" s="66">
        <f t="shared" si="17"/>
        <v>99.563601099078724</v>
      </c>
      <c r="P195" s="64">
        <f t="shared" si="18"/>
        <v>5.4945054945054949E-3</v>
      </c>
      <c r="Q195" s="63">
        <f t="shared" si="19"/>
        <v>1232</v>
      </c>
      <c r="R195" s="67">
        <f t="shared" si="20"/>
        <v>3.5389610389610389</v>
      </c>
    </row>
    <row r="196" spans="1:18" x14ac:dyDescent="0.3">
      <c r="A196" s="61">
        <v>46350</v>
      </c>
      <c r="B196" s="62">
        <v>24</v>
      </c>
      <c r="C196" s="62">
        <f t="shared" si="14"/>
        <v>4</v>
      </c>
      <c r="D196" s="62" t="s">
        <v>296</v>
      </c>
      <c r="E196" s="62" t="str">
        <f>INDEX('Media Plan'!$B$5:$B$12,MATCH(D196,'Media Plan'!$A$5:$A$12,0))</f>
        <v>Email + WhatsApp</v>
      </c>
      <c r="F196" s="62" t="str">
        <f>INDEX('Media Plan'!$D$5:$D$12,MATCH(D196,'Media Plan'!$A$5:$A$12,0))</f>
        <v>CARE</v>
      </c>
      <c r="G196" s="63">
        <v>426</v>
      </c>
      <c r="H196" s="63">
        <v>678</v>
      </c>
      <c r="I196" s="63">
        <v>56</v>
      </c>
      <c r="J196" s="63">
        <v>6</v>
      </c>
      <c r="K196" s="63">
        <v>0</v>
      </c>
      <c r="L196" s="63">
        <v>0</v>
      </c>
      <c r="M196" s="64">
        <f t="shared" si="15"/>
        <v>8.2595870206489674E-2</v>
      </c>
      <c r="N196" s="65">
        <f t="shared" si="16"/>
        <v>7.6071428571428568</v>
      </c>
      <c r="O196" s="66">
        <f t="shared" si="17"/>
        <v>628.31858407079642</v>
      </c>
      <c r="P196" s="64">
        <f t="shared" si="18"/>
        <v>0</v>
      </c>
      <c r="Q196" s="63" t="str">
        <f t="shared" si="19"/>
        <v>-</v>
      </c>
      <c r="R196" s="67">
        <f t="shared" si="20"/>
        <v>0</v>
      </c>
    </row>
    <row r="197" spans="1:18" x14ac:dyDescent="0.3">
      <c r="A197" s="61">
        <v>46351</v>
      </c>
      <c r="B197" s="62">
        <v>25</v>
      </c>
      <c r="C197" s="62">
        <f t="shared" ref="C197:C260" si="21">MIN(4,INT((B197-1)/7)+1)</f>
        <v>4</v>
      </c>
      <c r="D197" s="62" t="s">
        <v>241</v>
      </c>
      <c r="E197" s="62" t="str">
        <f>INDEX('Media Plan'!$B$5:$B$12,MATCH(D197,'Media Plan'!$A$5:$A$12,0))</f>
        <v>TikTok</v>
      </c>
      <c r="F197" s="62" t="str">
        <f>INDEX('Media Plan'!$D$5:$D$12,MATCH(D197,'Media Plan'!$A$5:$A$12,0))</f>
        <v>TOFU</v>
      </c>
      <c r="G197" s="63">
        <v>1304</v>
      </c>
      <c r="H197" s="63">
        <v>45021</v>
      </c>
      <c r="I197" s="63">
        <v>285</v>
      </c>
      <c r="J197" s="63">
        <v>2</v>
      </c>
      <c r="K197" s="63">
        <v>0</v>
      </c>
      <c r="L197" s="63">
        <v>0</v>
      </c>
      <c r="M197" s="64">
        <f t="shared" ref="M197:M244" si="22">IFERROR(I197/H197,0)</f>
        <v>6.3303791563936833E-3</v>
      </c>
      <c r="N197" s="65">
        <f t="shared" ref="N197:N244" si="23">IFERROR(G197/I197,0)</f>
        <v>4.5754385964912281</v>
      </c>
      <c r="O197" s="66">
        <f t="shared" ref="O197:O244" si="24">IFERROR(G197/H197*1000,0)</f>
        <v>28.964261122587239</v>
      </c>
      <c r="P197" s="64">
        <f t="shared" ref="P197:P244" si="25">IFERROR(K197/I197,0)</f>
        <v>0</v>
      </c>
      <c r="Q197" s="63" t="str">
        <f t="shared" ref="Q197:Q244" si="26">IFERROR(G197/K197,"-")</f>
        <v>-</v>
      </c>
      <c r="R197" s="67">
        <f t="shared" ref="R197:R244" si="27">IFERROR(L197/G197,0)</f>
        <v>0</v>
      </c>
    </row>
    <row r="198" spans="1:18" x14ac:dyDescent="0.3">
      <c r="A198" s="61">
        <v>46351</v>
      </c>
      <c r="B198" s="62">
        <v>25</v>
      </c>
      <c r="C198" s="62">
        <f t="shared" si="21"/>
        <v>4</v>
      </c>
      <c r="D198" s="62" t="s">
        <v>250</v>
      </c>
      <c r="E198" s="62" t="str">
        <f>INDEX('Media Plan'!$B$5:$B$12,MATCH(D198,'Media Plan'!$A$5:$A$12,0))</f>
        <v>YouTube</v>
      </c>
      <c r="F198" s="62" t="str">
        <f>INDEX('Media Plan'!$D$5:$D$12,MATCH(D198,'Media Plan'!$A$5:$A$12,0))</f>
        <v>TOFU</v>
      </c>
      <c r="G198" s="63">
        <v>454</v>
      </c>
      <c r="H198" s="63">
        <v>9871</v>
      </c>
      <c r="I198" s="63">
        <v>27</v>
      </c>
      <c r="J198" s="63">
        <v>0</v>
      </c>
      <c r="K198" s="63">
        <v>0</v>
      </c>
      <c r="L198" s="63">
        <v>0</v>
      </c>
      <c r="M198" s="64">
        <f t="shared" si="22"/>
        <v>2.735285178806605E-3</v>
      </c>
      <c r="N198" s="65">
        <f t="shared" si="23"/>
        <v>16.814814814814813</v>
      </c>
      <c r="O198" s="66">
        <f t="shared" si="24"/>
        <v>45.9933137473407</v>
      </c>
      <c r="P198" s="64">
        <f t="shared" si="25"/>
        <v>0</v>
      </c>
      <c r="Q198" s="63" t="str">
        <f t="shared" si="26"/>
        <v>-</v>
      </c>
      <c r="R198" s="67">
        <f t="shared" si="27"/>
        <v>0</v>
      </c>
    </row>
    <row r="199" spans="1:18" x14ac:dyDescent="0.3">
      <c r="A199" s="61">
        <v>46351</v>
      </c>
      <c r="B199" s="62">
        <v>25</v>
      </c>
      <c r="C199" s="62">
        <f t="shared" si="21"/>
        <v>4</v>
      </c>
      <c r="D199" s="62" t="s">
        <v>258</v>
      </c>
      <c r="E199" s="62" t="str">
        <f>INDEX('Media Plan'!$B$5:$B$12,MATCH(D199,'Media Plan'!$A$5:$A$12,0))</f>
        <v>Snapchat</v>
      </c>
      <c r="F199" s="62" t="str">
        <f>INDEX('Media Plan'!$D$5:$D$12,MATCH(D199,'Media Plan'!$A$5:$A$12,0))</f>
        <v>MOFU</v>
      </c>
      <c r="G199" s="63">
        <v>463</v>
      </c>
      <c r="H199" s="63">
        <v>17949</v>
      </c>
      <c r="I199" s="63">
        <v>92</v>
      </c>
      <c r="J199" s="63">
        <v>0</v>
      </c>
      <c r="K199" s="63">
        <v>0</v>
      </c>
      <c r="L199" s="63">
        <v>0</v>
      </c>
      <c r="M199" s="64">
        <f t="shared" si="22"/>
        <v>5.125633740041228E-3</v>
      </c>
      <c r="N199" s="65">
        <f t="shared" si="23"/>
        <v>5.0326086956521738</v>
      </c>
      <c r="O199" s="66">
        <f t="shared" si="24"/>
        <v>25.795308930859658</v>
      </c>
      <c r="P199" s="64">
        <f t="shared" si="25"/>
        <v>0</v>
      </c>
      <c r="Q199" s="63" t="str">
        <f t="shared" si="26"/>
        <v>-</v>
      </c>
      <c r="R199" s="67">
        <f t="shared" si="27"/>
        <v>0</v>
      </c>
    </row>
    <row r="200" spans="1:18" x14ac:dyDescent="0.3">
      <c r="A200" s="61">
        <v>46351</v>
      </c>
      <c r="B200" s="62">
        <v>25</v>
      </c>
      <c r="C200" s="62">
        <f t="shared" si="21"/>
        <v>4</v>
      </c>
      <c r="D200" s="62" t="s">
        <v>266</v>
      </c>
      <c r="E200" s="62" t="str">
        <f>INDEX('Media Plan'!$B$5:$B$12,MATCH(D200,'Media Plan'!$A$5:$A$12,0))</f>
        <v>Meta</v>
      </c>
      <c r="F200" s="62" t="str">
        <f>INDEX('Media Plan'!$D$5:$D$12,MATCH(D200,'Media Plan'!$A$5:$A$12,0))</f>
        <v>MOFU</v>
      </c>
      <c r="G200" s="63">
        <v>1590</v>
      </c>
      <c r="H200" s="63">
        <v>24980</v>
      </c>
      <c r="I200" s="63">
        <v>240</v>
      </c>
      <c r="J200" s="63">
        <v>5</v>
      </c>
      <c r="K200" s="63">
        <v>2</v>
      </c>
      <c r="L200" s="63">
        <v>9920</v>
      </c>
      <c r="M200" s="64">
        <f t="shared" si="22"/>
        <v>9.6076861489191347E-3</v>
      </c>
      <c r="N200" s="65">
        <f t="shared" si="23"/>
        <v>6.625</v>
      </c>
      <c r="O200" s="66">
        <f t="shared" si="24"/>
        <v>63.650920736589278</v>
      </c>
      <c r="P200" s="64">
        <f t="shared" si="25"/>
        <v>8.3333333333333332E-3</v>
      </c>
      <c r="Q200" s="63">
        <f t="shared" si="26"/>
        <v>795</v>
      </c>
      <c r="R200" s="67">
        <f t="shared" si="27"/>
        <v>6.2389937106918243</v>
      </c>
    </row>
    <row r="201" spans="1:18" x14ac:dyDescent="0.3">
      <c r="A201" s="61">
        <v>46351</v>
      </c>
      <c r="B201" s="62">
        <v>25</v>
      </c>
      <c r="C201" s="62">
        <f t="shared" si="21"/>
        <v>4</v>
      </c>
      <c r="D201" s="62" t="s">
        <v>275</v>
      </c>
      <c r="E201" s="62" t="str">
        <f>INDEX('Media Plan'!$B$5:$B$12,MATCH(D201,'Media Plan'!$A$5:$A$12,0))</f>
        <v>Google Search</v>
      </c>
      <c r="F201" s="62" t="str">
        <f>INDEX('Media Plan'!$D$5:$D$12,MATCH(D201,'Media Plan'!$A$5:$A$12,0))</f>
        <v>BOFU</v>
      </c>
      <c r="G201" s="63">
        <v>1778</v>
      </c>
      <c r="H201" s="63">
        <v>4826</v>
      </c>
      <c r="I201" s="63">
        <v>298</v>
      </c>
      <c r="J201" s="63">
        <v>15</v>
      </c>
      <c r="K201" s="63">
        <v>2</v>
      </c>
      <c r="L201" s="63">
        <v>10420</v>
      </c>
      <c r="M201" s="64">
        <f t="shared" si="22"/>
        <v>6.1748860339825941E-2</v>
      </c>
      <c r="N201" s="65">
        <f t="shared" si="23"/>
        <v>5.9664429530201346</v>
      </c>
      <c r="O201" s="66">
        <f t="shared" si="24"/>
        <v>368.4210526315789</v>
      </c>
      <c r="P201" s="64">
        <f t="shared" si="25"/>
        <v>6.7114093959731542E-3</v>
      </c>
      <c r="Q201" s="63">
        <f t="shared" si="26"/>
        <v>889</v>
      </c>
      <c r="R201" s="67">
        <f t="shared" si="27"/>
        <v>5.8605174353205847</v>
      </c>
    </row>
    <row r="202" spans="1:18" x14ac:dyDescent="0.3">
      <c r="A202" s="61">
        <v>46351</v>
      </c>
      <c r="B202" s="62">
        <v>25</v>
      </c>
      <c r="C202" s="62">
        <f t="shared" si="21"/>
        <v>4</v>
      </c>
      <c r="D202" s="62" t="s">
        <v>282</v>
      </c>
      <c r="E202" s="62" t="str">
        <f>INDEX('Media Plan'!$B$5:$B$12,MATCH(D202,'Media Plan'!$A$5:$A$12,0))</f>
        <v>Google PMax</v>
      </c>
      <c r="F202" s="62" t="str">
        <f>INDEX('Media Plan'!$D$5:$D$12,MATCH(D202,'Media Plan'!$A$5:$A$12,0))</f>
        <v>BOFU</v>
      </c>
      <c r="G202" s="63">
        <v>1012</v>
      </c>
      <c r="H202" s="63">
        <v>15347</v>
      </c>
      <c r="I202" s="63">
        <v>207</v>
      </c>
      <c r="J202" s="63">
        <v>6</v>
      </c>
      <c r="K202" s="63">
        <v>1</v>
      </c>
      <c r="L202" s="63">
        <v>5480</v>
      </c>
      <c r="M202" s="64">
        <f t="shared" si="22"/>
        <v>1.348797810647032E-2</v>
      </c>
      <c r="N202" s="65">
        <f t="shared" si="23"/>
        <v>4.8888888888888893</v>
      </c>
      <c r="O202" s="66">
        <f t="shared" si="24"/>
        <v>65.941226298299341</v>
      </c>
      <c r="P202" s="64">
        <f t="shared" si="25"/>
        <v>4.830917874396135E-3</v>
      </c>
      <c r="Q202" s="63">
        <f t="shared" si="26"/>
        <v>1012</v>
      </c>
      <c r="R202" s="67">
        <f t="shared" si="27"/>
        <v>5.4150197628458496</v>
      </c>
    </row>
    <row r="203" spans="1:18" x14ac:dyDescent="0.3">
      <c r="A203" s="61">
        <v>46351</v>
      </c>
      <c r="B203" s="62">
        <v>25</v>
      </c>
      <c r="C203" s="62">
        <f t="shared" si="21"/>
        <v>4</v>
      </c>
      <c r="D203" s="62" t="s">
        <v>289</v>
      </c>
      <c r="E203" s="62" t="str">
        <f>INDEX('Media Plan'!$B$5:$B$12,MATCH(D203,'Media Plan'!$A$5:$A$12,0))</f>
        <v>Meta</v>
      </c>
      <c r="F203" s="62" t="str">
        <f>INDEX('Media Plan'!$D$5:$D$12,MATCH(D203,'Media Plan'!$A$5:$A$12,0))</f>
        <v>BOFU</v>
      </c>
      <c r="G203" s="63">
        <v>1365</v>
      </c>
      <c r="H203" s="63">
        <v>14740</v>
      </c>
      <c r="I203" s="63">
        <v>224</v>
      </c>
      <c r="J203" s="63">
        <v>9</v>
      </c>
      <c r="K203" s="63">
        <v>1</v>
      </c>
      <c r="L203" s="63">
        <v>3970</v>
      </c>
      <c r="M203" s="64">
        <f t="shared" si="22"/>
        <v>1.519674355495251E-2</v>
      </c>
      <c r="N203" s="65">
        <f t="shared" si="23"/>
        <v>6.09375</v>
      </c>
      <c r="O203" s="66">
        <f t="shared" si="24"/>
        <v>92.605156037991847</v>
      </c>
      <c r="P203" s="64">
        <f t="shared" si="25"/>
        <v>4.464285714285714E-3</v>
      </c>
      <c r="Q203" s="63">
        <f t="shared" si="26"/>
        <v>1365</v>
      </c>
      <c r="R203" s="67">
        <f t="shared" si="27"/>
        <v>2.9084249084249083</v>
      </c>
    </row>
    <row r="204" spans="1:18" x14ac:dyDescent="0.3">
      <c r="A204" s="61">
        <v>46351</v>
      </c>
      <c r="B204" s="62">
        <v>25</v>
      </c>
      <c r="C204" s="62">
        <f t="shared" si="21"/>
        <v>4</v>
      </c>
      <c r="D204" s="62" t="s">
        <v>296</v>
      </c>
      <c r="E204" s="62" t="str">
        <f>INDEX('Media Plan'!$B$5:$B$12,MATCH(D204,'Media Plan'!$A$5:$A$12,0))</f>
        <v>Email + WhatsApp</v>
      </c>
      <c r="F204" s="62" t="str">
        <f>INDEX('Media Plan'!$D$5:$D$12,MATCH(D204,'Media Plan'!$A$5:$A$12,0))</f>
        <v>CARE</v>
      </c>
      <c r="G204" s="63">
        <v>450</v>
      </c>
      <c r="H204" s="63">
        <v>718</v>
      </c>
      <c r="I204" s="63">
        <v>62</v>
      </c>
      <c r="J204" s="63">
        <v>8</v>
      </c>
      <c r="K204" s="63">
        <v>0</v>
      </c>
      <c r="L204" s="63">
        <v>0</v>
      </c>
      <c r="M204" s="64">
        <f t="shared" si="22"/>
        <v>8.6350974930362118E-2</v>
      </c>
      <c r="N204" s="65">
        <f t="shared" si="23"/>
        <v>7.258064516129032</v>
      </c>
      <c r="O204" s="66">
        <f t="shared" si="24"/>
        <v>626.74094707520885</v>
      </c>
      <c r="P204" s="64">
        <f t="shared" si="25"/>
        <v>0</v>
      </c>
      <c r="Q204" s="63" t="str">
        <f t="shared" si="26"/>
        <v>-</v>
      </c>
      <c r="R204" s="67">
        <f t="shared" si="27"/>
        <v>0</v>
      </c>
    </row>
    <row r="205" spans="1:18" x14ac:dyDescent="0.3">
      <c r="A205" s="61">
        <v>46352</v>
      </c>
      <c r="B205" s="62">
        <v>26</v>
      </c>
      <c r="C205" s="62">
        <f t="shared" si="21"/>
        <v>4</v>
      </c>
      <c r="D205" s="62" t="s">
        <v>241</v>
      </c>
      <c r="E205" s="62" t="str">
        <f>INDEX('Media Plan'!$B$5:$B$12,MATCH(D205,'Media Plan'!$A$5:$A$12,0))</f>
        <v>TikTok</v>
      </c>
      <c r="F205" s="62" t="str">
        <f>INDEX('Media Plan'!$D$5:$D$12,MATCH(D205,'Media Plan'!$A$5:$A$12,0))</f>
        <v>TOFU</v>
      </c>
      <c r="G205" s="63">
        <v>1223</v>
      </c>
      <c r="H205" s="63">
        <v>39647</v>
      </c>
      <c r="I205" s="63">
        <v>223</v>
      </c>
      <c r="J205" s="63">
        <v>1</v>
      </c>
      <c r="K205" s="63">
        <v>0</v>
      </c>
      <c r="L205" s="63">
        <v>0</v>
      </c>
      <c r="M205" s="64">
        <f t="shared" si="22"/>
        <v>5.6246374252780793E-3</v>
      </c>
      <c r="N205" s="65">
        <f t="shared" si="23"/>
        <v>5.4843049327354256</v>
      </c>
      <c r="O205" s="66">
        <f t="shared" si="24"/>
        <v>30.847226776300854</v>
      </c>
      <c r="P205" s="64">
        <f t="shared" si="25"/>
        <v>0</v>
      </c>
      <c r="Q205" s="63" t="str">
        <f t="shared" si="26"/>
        <v>-</v>
      </c>
      <c r="R205" s="67">
        <f t="shared" si="27"/>
        <v>0</v>
      </c>
    </row>
    <row r="206" spans="1:18" x14ac:dyDescent="0.3">
      <c r="A206" s="61">
        <v>46352</v>
      </c>
      <c r="B206" s="62">
        <v>26</v>
      </c>
      <c r="C206" s="62">
        <f t="shared" si="21"/>
        <v>4</v>
      </c>
      <c r="D206" s="62" t="s">
        <v>250</v>
      </c>
      <c r="E206" s="62" t="str">
        <f>INDEX('Media Plan'!$B$5:$B$12,MATCH(D206,'Media Plan'!$A$5:$A$12,0))</f>
        <v>YouTube</v>
      </c>
      <c r="F206" s="62" t="str">
        <f>INDEX('Media Plan'!$D$5:$D$12,MATCH(D206,'Media Plan'!$A$5:$A$12,0))</f>
        <v>TOFU</v>
      </c>
      <c r="G206" s="63">
        <v>442</v>
      </c>
      <c r="H206" s="63">
        <v>9431</v>
      </c>
      <c r="I206" s="63">
        <v>26</v>
      </c>
      <c r="J206" s="63">
        <v>0</v>
      </c>
      <c r="K206" s="63">
        <v>0</v>
      </c>
      <c r="L206" s="63">
        <v>0</v>
      </c>
      <c r="M206" s="64">
        <f t="shared" si="22"/>
        <v>2.7568656558159261E-3</v>
      </c>
      <c r="N206" s="65">
        <f t="shared" si="23"/>
        <v>17</v>
      </c>
      <c r="O206" s="66">
        <f t="shared" si="24"/>
        <v>46.866716148870744</v>
      </c>
      <c r="P206" s="64">
        <f t="shared" si="25"/>
        <v>0</v>
      </c>
      <c r="Q206" s="63" t="str">
        <f t="shared" si="26"/>
        <v>-</v>
      </c>
      <c r="R206" s="67">
        <f t="shared" si="27"/>
        <v>0</v>
      </c>
    </row>
    <row r="207" spans="1:18" x14ac:dyDescent="0.3">
      <c r="A207" s="61">
        <v>46352</v>
      </c>
      <c r="B207" s="62">
        <v>26</v>
      </c>
      <c r="C207" s="62">
        <f t="shared" si="21"/>
        <v>4</v>
      </c>
      <c r="D207" s="62" t="s">
        <v>258</v>
      </c>
      <c r="E207" s="62" t="str">
        <f>INDEX('Media Plan'!$B$5:$B$12,MATCH(D207,'Media Plan'!$A$5:$A$12,0))</f>
        <v>Snapchat</v>
      </c>
      <c r="F207" s="62" t="str">
        <f>INDEX('Media Plan'!$D$5:$D$12,MATCH(D207,'Media Plan'!$A$5:$A$12,0))</f>
        <v>MOFU</v>
      </c>
      <c r="G207" s="63">
        <v>414</v>
      </c>
      <c r="H207" s="63">
        <v>15717</v>
      </c>
      <c r="I207" s="63">
        <v>80</v>
      </c>
      <c r="J207" s="63">
        <v>0</v>
      </c>
      <c r="K207" s="63">
        <v>0</v>
      </c>
      <c r="L207" s="63">
        <v>0</v>
      </c>
      <c r="M207" s="64">
        <f t="shared" si="22"/>
        <v>5.0900299039256854E-3</v>
      </c>
      <c r="N207" s="65">
        <f t="shared" si="23"/>
        <v>5.1749999999999998</v>
      </c>
      <c r="O207" s="66">
        <f t="shared" si="24"/>
        <v>26.340904752815423</v>
      </c>
      <c r="P207" s="64">
        <f t="shared" si="25"/>
        <v>0</v>
      </c>
      <c r="Q207" s="63" t="str">
        <f t="shared" si="26"/>
        <v>-</v>
      </c>
      <c r="R207" s="67">
        <f t="shared" si="27"/>
        <v>0</v>
      </c>
    </row>
    <row r="208" spans="1:18" x14ac:dyDescent="0.3">
      <c r="A208" s="61">
        <v>46352</v>
      </c>
      <c r="B208" s="62">
        <v>26</v>
      </c>
      <c r="C208" s="62">
        <f t="shared" si="21"/>
        <v>4</v>
      </c>
      <c r="D208" s="62" t="s">
        <v>266</v>
      </c>
      <c r="E208" s="62" t="str">
        <f>INDEX('Media Plan'!$B$5:$B$12,MATCH(D208,'Media Plan'!$A$5:$A$12,0))</f>
        <v>Meta</v>
      </c>
      <c r="F208" s="62" t="str">
        <f>INDEX('Media Plan'!$D$5:$D$12,MATCH(D208,'Media Plan'!$A$5:$A$12,0))</f>
        <v>MOFU</v>
      </c>
      <c r="G208" s="63">
        <v>1651</v>
      </c>
      <c r="H208" s="63">
        <v>26040</v>
      </c>
      <c r="I208" s="63">
        <v>218</v>
      </c>
      <c r="J208" s="63">
        <v>5</v>
      </c>
      <c r="K208" s="63">
        <v>2</v>
      </c>
      <c r="L208" s="63">
        <v>8070</v>
      </c>
      <c r="M208" s="64">
        <f t="shared" si="22"/>
        <v>8.3717357910906304E-3</v>
      </c>
      <c r="N208" s="65">
        <f t="shared" si="23"/>
        <v>7.5733944954128436</v>
      </c>
      <c r="O208" s="66">
        <f t="shared" si="24"/>
        <v>63.402457757296474</v>
      </c>
      <c r="P208" s="64">
        <f t="shared" si="25"/>
        <v>9.1743119266055051E-3</v>
      </c>
      <c r="Q208" s="63">
        <f t="shared" si="26"/>
        <v>825.5</v>
      </c>
      <c r="R208" s="67">
        <f t="shared" si="27"/>
        <v>4.8879466989703211</v>
      </c>
    </row>
    <row r="209" spans="1:18" x14ac:dyDescent="0.3">
      <c r="A209" s="61">
        <v>46352</v>
      </c>
      <c r="B209" s="62">
        <v>26</v>
      </c>
      <c r="C209" s="62">
        <f t="shared" si="21"/>
        <v>4</v>
      </c>
      <c r="D209" s="62" t="s">
        <v>275</v>
      </c>
      <c r="E209" s="62" t="str">
        <f>INDEX('Media Plan'!$B$5:$B$12,MATCH(D209,'Media Plan'!$A$5:$A$12,0))</f>
        <v>Google Search</v>
      </c>
      <c r="F209" s="62" t="str">
        <f>INDEX('Media Plan'!$D$5:$D$12,MATCH(D209,'Media Plan'!$A$5:$A$12,0))</f>
        <v>BOFU</v>
      </c>
      <c r="G209" s="63">
        <v>1778</v>
      </c>
      <c r="H209" s="63">
        <v>4829</v>
      </c>
      <c r="I209" s="63">
        <v>332</v>
      </c>
      <c r="J209" s="63">
        <v>20</v>
      </c>
      <c r="K209" s="63">
        <v>2</v>
      </c>
      <c r="L209" s="63">
        <v>9560</v>
      </c>
      <c r="M209" s="64">
        <f t="shared" si="22"/>
        <v>6.8751294263822732E-2</v>
      </c>
      <c r="N209" s="65">
        <f t="shared" si="23"/>
        <v>5.3554216867469879</v>
      </c>
      <c r="O209" s="66">
        <f t="shared" si="24"/>
        <v>368.19217229240007</v>
      </c>
      <c r="P209" s="64">
        <f t="shared" si="25"/>
        <v>6.024096385542169E-3</v>
      </c>
      <c r="Q209" s="63">
        <f t="shared" si="26"/>
        <v>889</v>
      </c>
      <c r="R209" s="67">
        <f t="shared" si="27"/>
        <v>5.3768278965129355</v>
      </c>
    </row>
    <row r="210" spans="1:18" x14ac:dyDescent="0.3">
      <c r="A210" s="61">
        <v>46352</v>
      </c>
      <c r="B210" s="62">
        <v>26</v>
      </c>
      <c r="C210" s="62">
        <f t="shared" si="21"/>
        <v>4</v>
      </c>
      <c r="D210" s="62" t="s">
        <v>282</v>
      </c>
      <c r="E210" s="62" t="str">
        <f>INDEX('Media Plan'!$B$5:$B$12,MATCH(D210,'Media Plan'!$A$5:$A$12,0))</f>
        <v>Google PMax</v>
      </c>
      <c r="F210" s="62" t="str">
        <f>INDEX('Media Plan'!$D$5:$D$12,MATCH(D210,'Media Plan'!$A$5:$A$12,0))</f>
        <v>BOFU</v>
      </c>
      <c r="G210" s="63">
        <v>1024</v>
      </c>
      <c r="H210" s="63">
        <v>13737</v>
      </c>
      <c r="I210" s="63">
        <v>189</v>
      </c>
      <c r="J210" s="63">
        <v>5</v>
      </c>
      <c r="K210" s="63">
        <v>0</v>
      </c>
      <c r="L210" s="63">
        <v>0</v>
      </c>
      <c r="M210" s="64">
        <f t="shared" si="22"/>
        <v>1.3758462546407512E-2</v>
      </c>
      <c r="N210" s="65">
        <f t="shared" si="23"/>
        <v>5.4179894179894177</v>
      </c>
      <c r="O210" s="66">
        <f t="shared" si="24"/>
        <v>74.543204484239652</v>
      </c>
      <c r="P210" s="64">
        <f t="shared" si="25"/>
        <v>0</v>
      </c>
      <c r="Q210" s="63" t="str">
        <f t="shared" si="26"/>
        <v>-</v>
      </c>
      <c r="R210" s="67">
        <f t="shared" si="27"/>
        <v>0</v>
      </c>
    </row>
    <row r="211" spans="1:18" x14ac:dyDescent="0.3">
      <c r="A211" s="61">
        <v>46352</v>
      </c>
      <c r="B211" s="62">
        <v>26</v>
      </c>
      <c r="C211" s="62">
        <f t="shared" si="21"/>
        <v>4</v>
      </c>
      <c r="D211" s="62" t="s">
        <v>289</v>
      </c>
      <c r="E211" s="62" t="str">
        <f>INDEX('Media Plan'!$B$5:$B$12,MATCH(D211,'Media Plan'!$A$5:$A$12,0))</f>
        <v>Meta</v>
      </c>
      <c r="F211" s="62" t="str">
        <f>INDEX('Media Plan'!$D$5:$D$12,MATCH(D211,'Media Plan'!$A$5:$A$12,0))</f>
        <v>BOFU</v>
      </c>
      <c r="G211" s="63">
        <v>1167</v>
      </c>
      <c r="H211" s="63">
        <v>11668</v>
      </c>
      <c r="I211" s="63">
        <v>176</v>
      </c>
      <c r="J211" s="63">
        <v>7</v>
      </c>
      <c r="K211" s="63">
        <v>0</v>
      </c>
      <c r="L211" s="63">
        <v>0</v>
      </c>
      <c r="M211" s="64">
        <f t="shared" si="22"/>
        <v>1.5083990401097017E-2</v>
      </c>
      <c r="N211" s="65">
        <f t="shared" si="23"/>
        <v>6.6306818181818183</v>
      </c>
      <c r="O211" s="66">
        <f t="shared" si="24"/>
        <v>100.01714089818306</v>
      </c>
      <c r="P211" s="64">
        <f t="shared" si="25"/>
        <v>0</v>
      </c>
      <c r="Q211" s="63" t="str">
        <f t="shared" si="26"/>
        <v>-</v>
      </c>
      <c r="R211" s="67">
        <f t="shared" si="27"/>
        <v>0</v>
      </c>
    </row>
    <row r="212" spans="1:18" x14ac:dyDescent="0.3">
      <c r="A212" s="61">
        <v>46352</v>
      </c>
      <c r="B212" s="62">
        <v>26</v>
      </c>
      <c r="C212" s="62">
        <f t="shared" si="21"/>
        <v>4</v>
      </c>
      <c r="D212" s="62" t="s">
        <v>296</v>
      </c>
      <c r="E212" s="62" t="str">
        <f>INDEX('Media Plan'!$B$5:$B$12,MATCH(D212,'Media Plan'!$A$5:$A$12,0))</f>
        <v>Email + WhatsApp</v>
      </c>
      <c r="F212" s="62" t="str">
        <f>INDEX('Media Plan'!$D$5:$D$12,MATCH(D212,'Media Plan'!$A$5:$A$12,0))</f>
        <v>CARE</v>
      </c>
      <c r="G212" s="63">
        <v>417</v>
      </c>
      <c r="H212" s="63">
        <v>725</v>
      </c>
      <c r="I212" s="63">
        <v>65</v>
      </c>
      <c r="J212" s="63">
        <v>10</v>
      </c>
      <c r="K212" s="63">
        <v>1</v>
      </c>
      <c r="L212" s="63">
        <v>5490</v>
      </c>
      <c r="M212" s="64">
        <f t="shared" si="22"/>
        <v>8.9655172413793102E-2</v>
      </c>
      <c r="N212" s="65">
        <f t="shared" si="23"/>
        <v>6.4153846153846157</v>
      </c>
      <c r="O212" s="66">
        <f t="shared" si="24"/>
        <v>575.17241379310349</v>
      </c>
      <c r="P212" s="64">
        <f t="shared" si="25"/>
        <v>1.5384615384615385E-2</v>
      </c>
      <c r="Q212" s="63">
        <f t="shared" si="26"/>
        <v>417</v>
      </c>
      <c r="R212" s="67">
        <f t="shared" si="27"/>
        <v>13.16546762589928</v>
      </c>
    </row>
    <row r="213" spans="1:18" x14ac:dyDescent="0.3">
      <c r="A213" s="61">
        <v>46353</v>
      </c>
      <c r="B213" s="62">
        <v>27</v>
      </c>
      <c r="C213" s="62">
        <f t="shared" si="21"/>
        <v>4</v>
      </c>
      <c r="D213" s="62" t="s">
        <v>241</v>
      </c>
      <c r="E213" s="62" t="str">
        <f>INDEX('Media Plan'!$B$5:$B$12,MATCH(D213,'Media Plan'!$A$5:$A$12,0))</f>
        <v>TikTok</v>
      </c>
      <c r="F213" s="62" t="str">
        <f>INDEX('Media Plan'!$D$5:$D$12,MATCH(D213,'Media Plan'!$A$5:$A$12,0))</f>
        <v>TOFU</v>
      </c>
      <c r="G213" s="63">
        <v>1295</v>
      </c>
      <c r="H213" s="63">
        <v>41243</v>
      </c>
      <c r="I213" s="63">
        <v>226</v>
      </c>
      <c r="J213" s="63">
        <v>1</v>
      </c>
      <c r="K213" s="63">
        <v>0</v>
      </c>
      <c r="L213" s="63">
        <v>0</v>
      </c>
      <c r="M213" s="64">
        <f t="shared" si="22"/>
        <v>5.4797177702882918E-3</v>
      </c>
      <c r="N213" s="65">
        <f t="shared" si="23"/>
        <v>5.7300884955752212</v>
      </c>
      <c r="O213" s="66">
        <f t="shared" si="24"/>
        <v>31.39926775452804</v>
      </c>
      <c r="P213" s="64">
        <f t="shared" si="25"/>
        <v>0</v>
      </c>
      <c r="Q213" s="63" t="str">
        <f t="shared" si="26"/>
        <v>-</v>
      </c>
      <c r="R213" s="67">
        <f t="shared" si="27"/>
        <v>0</v>
      </c>
    </row>
    <row r="214" spans="1:18" x14ac:dyDescent="0.3">
      <c r="A214" s="61">
        <v>46353</v>
      </c>
      <c r="B214" s="62">
        <v>27</v>
      </c>
      <c r="C214" s="62">
        <f t="shared" si="21"/>
        <v>4</v>
      </c>
      <c r="D214" s="62" t="s">
        <v>250</v>
      </c>
      <c r="E214" s="62" t="str">
        <f>INDEX('Media Plan'!$B$5:$B$12,MATCH(D214,'Media Plan'!$A$5:$A$12,0))</f>
        <v>YouTube</v>
      </c>
      <c r="F214" s="62" t="str">
        <f>INDEX('Media Plan'!$D$5:$D$12,MATCH(D214,'Media Plan'!$A$5:$A$12,0))</f>
        <v>TOFU</v>
      </c>
      <c r="G214" s="63">
        <v>436</v>
      </c>
      <c r="H214" s="63">
        <v>9793</v>
      </c>
      <c r="I214" s="63">
        <v>28</v>
      </c>
      <c r="J214" s="63">
        <v>0</v>
      </c>
      <c r="K214" s="63">
        <v>0</v>
      </c>
      <c r="L214" s="63">
        <v>0</v>
      </c>
      <c r="M214" s="64">
        <f t="shared" si="22"/>
        <v>2.8591851322373124E-3</v>
      </c>
      <c r="N214" s="65">
        <f t="shared" si="23"/>
        <v>15.571428571428571</v>
      </c>
      <c r="O214" s="66">
        <f t="shared" si="24"/>
        <v>44.521597059123863</v>
      </c>
      <c r="P214" s="64">
        <f t="shared" si="25"/>
        <v>0</v>
      </c>
      <c r="Q214" s="63" t="str">
        <f t="shared" si="26"/>
        <v>-</v>
      </c>
      <c r="R214" s="67">
        <f t="shared" si="27"/>
        <v>0</v>
      </c>
    </row>
    <row r="215" spans="1:18" x14ac:dyDescent="0.3">
      <c r="A215" s="61">
        <v>46353</v>
      </c>
      <c r="B215" s="62">
        <v>27</v>
      </c>
      <c r="C215" s="62">
        <f t="shared" si="21"/>
        <v>4</v>
      </c>
      <c r="D215" s="62" t="s">
        <v>258</v>
      </c>
      <c r="E215" s="62" t="str">
        <f>INDEX('Media Plan'!$B$5:$B$12,MATCH(D215,'Media Plan'!$A$5:$A$12,0))</f>
        <v>Snapchat</v>
      </c>
      <c r="F215" s="62" t="str">
        <f>INDEX('Media Plan'!$D$5:$D$12,MATCH(D215,'Media Plan'!$A$5:$A$12,0))</f>
        <v>MOFU</v>
      </c>
      <c r="G215" s="63">
        <v>375</v>
      </c>
      <c r="H215" s="63">
        <v>15609</v>
      </c>
      <c r="I215" s="63">
        <v>89</v>
      </c>
      <c r="J215" s="63">
        <v>0</v>
      </c>
      <c r="K215" s="63">
        <v>0</v>
      </c>
      <c r="L215" s="63">
        <v>0</v>
      </c>
      <c r="M215" s="64">
        <f t="shared" si="22"/>
        <v>5.7018386828111989E-3</v>
      </c>
      <c r="N215" s="65">
        <f t="shared" si="23"/>
        <v>4.213483146067416</v>
      </c>
      <c r="O215" s="66">
        <f t="shared" si="24"/>
        <v>24.024601191620221</v>
      </c>
      <c r="P215" s="64">
        <f t="shared" si="25"/>
        <v>0</v>
      </c>
      <c r="Q215" s="63" t="str">
        <f t="shared" si="26"/>
        <v>-</v>
      </c>
      <c r="R215" s="67">
        <f t="shared" si="27"/>
        <v>0</v>
      </c>
    </row>
    <row r="216" spans="1:18" x14ac:dyDescent="0.3">
      <c r="A216" s="61">
        <v>46353</v>
      </c>
      <c r="B216" s="62">
        <v>27</v>
      </c>
      <c r="C216" s="62">
        <f t="shared" si="21"/>
        <v>4</v>
      </c>
      <c r="D216" s="62" t="s">
        <v>266</v>
      </c>
      <c r="E216" s="62" t="str">
        <f>INDEX('Media Plan'!$B$5:$B$12,MATCH(D216,'Media Plan'!$A$5:$A$12,0))</f>
        <v>Meta</v>
      </c>
      <c r="F216" s="62" t="str">
        <f>INDEX('Media Plan'!$D$5:$D$12,MATCH(D216,'Media Plan'!$A$5:$A$12,0))</f>
        <v>MOFU</v>
      </c>
      <c r="G216" s="63">
        <v>1678</v>
      </c>
      <c r="H216" s="63">
        <v>26923</v>
      </c>
      <c r="I216" s="63">
        <v>211</v>
      </c>
      <c r="J216" s="63">
        <v>3</v>
      </c>
      <c r="K216" s="63">
        <v>0</v>
      </c>
      <c r="L216" s="63">
        <v>0</v>
      </c>
      <c r="M216" s="64">
        <f t="shared" si="22"/>
        <v>7.8371652490435689E-3</v>
      </c>
      <c r="N216" s="65">
        <f t="shared" si="23"/>
        <v>7.9526066350710902</v>
      </c>
      <c r="O216" s="66">
        <f t="shared" si="24"/>
        <v>62.32589235969246</v>
      </c>
      <c r="P216" s="64">
        <f t="shared" si="25"/>
        <v>0</v>
      </c>
      <c r="Q216" s="63" t="str">
        <f t="shared" si="26"/>
        <v>-</v>
      </c>
      <c r="R216" s="67">
        <f t="shared" si="27"/>
        <v>0</v>
      </c>
    </row>
    <row r="217" spans="1:18" x14ac:dyDescent="0.3">
      <c r="A217" s="61">
        <v>46353</v>
      </c>
      <c r="B217" s="62">
        <v>27</v>
      </c>
      <c r="C217" s="62">
        <f t="shared" si="21"/>
        <v>4</v>
      </c>
      <c r="D217" s="62" t="s">
        <v>275</v>
      </c>
      <c r="E217" s="62" t="str">
        <f>INDEX('Media Plan'!$B$5:$B$12,MATCH(D217,'Media Plan'!$A$5:$A$12,0))</f>
        <v>Google Search</v>
      </c>
      <c r="F217" s="62" t="str">
        <f>INDEX('Media Plan'!$D$5:$D$12,MATCH(D217,'Media Plan'!$A$5:$A$12,0))</f>
        <v>BOFU</v>
      </c>
      <c r="G217" s="63">
        <v>1778</v>
      </c>
      <c r="H217" s="63">
        <v>5003</v>
      </c>
      <c r="I217" s="63">
        <v>337</v>
      </c>
      <c r="J217" s="63">
        <v>19</v>
      </c>
      <c r="K217" s="63">
        <v>2</v>
      </c>
      <c r="L217" s="63">
        <v>8400</v>
      </c>
      <c r="M217" s="64">
        <f t="shared" si="22"/>
        <v>6.7359584249450336E-2</v>
      </c>
      <c r="N217" s="65">
        <f t="shared" si="23"/>
        <v>5.275964391691395</v>
      </c>
      <c r="O217" s="66">
        <f t="shared" si="24"/>
        <v>355.38676793923645</v>
      </c>
      <c r="P217" s="64">
        <f t="shared" si="25"/>
        <v>5.9347181008902079E-3</v>
      </c>
      <c r="Q217" s="63">
        <f t="shared" si="26"/>
        <v>889</v>
      </c>
      <c r="R217" s="67">
        <f t="shared" si="27"/>
        <v>4.7244094488188972</v>
      </c>
    </row>
    <row r="218" spans="1:18" x14ac:dyDescent="0.3">
      <c r="A218" s="61">
        <v>46353</v>
      </c>
      <c r="B218" s="62">
        <v>27</v>
      </c>
      <c r="C218" s="62">
        <f t="shared" si="21"/>
        <v>4</v>
      </c>
      <c r="D218" s="62" t="s">
        <v>282</v>
      </c>
      <c r="E218" s="62" t="str">
        <f>INDEX('Media Plan'!$B$5:$B$12,MATCH(D218,'Media Plan'!$A$5:$A$12,0))</f>
        <v>Google PMax</v>
      </c>
      <c r="F218" s="62" t="str">
        <f>INDEX('Media Plan'!$D$5:$D$12,MATCH(D218,'Media Plan'!$A$5:$A$12,0))</f>
        <v>BOFU</v>
      </c>
      <c r="G218" s="63">
        <v>1016</v>
      </c>
      <c r="H218" s="63">
        <v>15392</v>
      </c>
      <c r="I218" s="63">
        <v>227</v>
      </c>
      <c r="J218" s="63">
        <v>6</v>
      </c>
      <c r="K218" s="63">
        <v>1</v>
      </c>
      <c r="L218" s="63">
        <v>5090</v>
      </c>
      <c r="M218" s="64">
        <f t="shared" si="22"/>
        <v>1.4747920997920999E-2</v>
      </c>
      <c r="N218" s="65">
        <f t="shared" si="23"/>
        <v>4.4757709251101323</v>
      </c>
      <c r="O218" s="66">
        <f t="shared" si="24"/>
        <v>66.008316008316015</v>
      </c>
      <c r="P218" s="64">
        <f t="shared" si="25"/>
        <v>4.4052863436123352E-3</v>
      </c>
      <c r="Q218" s="63">
        <f t="shared" si="26"/>
        <v>1016</v>
      </c>
      <c r="R218" s="67">
        <f t="shared" si="27"/>
        <v>5.0098425196850398</v>
      </c>
    </row>
    <row r="219" spans="1:18" x14ac:dyDescent="0.3">
      <c r="A219" s="61">
        <v>46353</v>
      </c>
      <c r="B219" s="62">
        <v>27</v>
      </c>
      <c r="C219" s="62">
        <f t="shared" si="21"/>
        <v>4</v>
      </c>
      <c r="D219" s="62" t="s">
        <v>289</v>
      </c>
      <c r="E219" s="62" t="str">
        <f>INDEX('Media Plan'!$B$5:$B$12,MATCH(D219,'Media Plan'!$A$5:$A$12,0))</f>
        <v>Meta</v>
      </c>
      <c r="F219" s="62" t="str">
        <f>INDEX('Media Plan'!$D$5:$D$12,MATCH(D219,'Media Plan'!$A$5:$A$12,0))</f>
        <v>BOFU</v>
      </c>
      <c r="G219" s="63">
        <v>1126</v>
      </c>
      <c r="H219" s="63">
        <v>10300</v>
      </c>
      <c r="I219" s="63">
        <v>142</v>
      </c>
      <c r="J219" s="63">
        <v>7</v>
      </c>
      <c r="K219" s="63">
        <v>1</v>
      </c>
      <c r="L219" s="63">
        <v>4850</v>
      </c>
      <c r="M219" s="64">
        <f t="shared" si="22"/>
        <v>1.3786407766990291E-2</v>
      </c>
      <c r="N219" s="65">
        <f t="shared" si="23"/>
        <v>7.929577464788732</v>
      </c>
      <c r="O219" s="66">
        <f t="shared" si="24"/>
        <v>109.32038834951456</v>
      </c>
      <c r="P219" s="64">
        <f t="shared" si="25"/>
        <v>7.0422535211267607E-3</v>
      </c>
      <c r="Q219" s="63">
        <f t="shared" si="26"/>
        <v>1126</v>
      </c>
      <c r="R219" s="67">
        <f t="shared" si="27"/>
        <v>4.3072824156305503</v>
      </c>
    </row>
    <row r="220" spans="1:18" x14ac:dyDescent="0.3">
      <c r="A220" s="61">
        <v>46353</v>
      </c>
      <c r="B220" s="62">
        <v>27</v>
      </c>
      <c r="C220" s="62">
        <f t="shared" si="21"/>
        <v>4</v>
      </c>
      <c r="D220" s="62" t="s">
        <v>296</v>
      </c>
      <c r="E220" s="62" t="str">
        <f>INDEX('Media Plan'!$B$5:$B$12,MATCH(D220,'Media Plan'!$A$5:$A$12,0))</f>
        <v>Email + WhatsApp</v>
      </c>
      <c r="F220" s="62" t="str">
        <f>INDEX('Media Plan'!$D$5:$D$12,MATCH(D220,'Media Plan'!$A$5:$A$12,0))</f>
        <v>CARE</v>
      </c>
      <c r="G220" s="63">
        <v>406</v>
      </c>
      <c r="H220" s="63">
        <v>679</v>
      </c>
      <c r="I220" s="63">
        <v>56</v>
      </c>
      <c r="J220" s="63">
        <v>6</v>
      </c>
      <c r="K220" s="63">
        <v>1</v>
      </c>
      <c r="L220" s="63">
        <v>5370</v>
      </c>
      <c r="M220" s="64">
        <f t="shared" si="22"/>
        <v>8.247422680412371E-2</v>
      </c>
      <c r="N220" s="65">
        <f t="shared" si="23"/>
        <v>7.25</v>
      </c>
      <c r="O220" s="66">
        <f t="shared" si="24"/>
        <v>597.93814432989689</v>
      </c>
      <c r="P220" s="64">
        <f t="shared" si="25"/>
        <v>1.7857142857142856E-2</v>
      </c>
      <c r="Q220" s="63">
        <f t="shared" si="26"/>
        <v>406</v>
      </c>
      <c r="R220" s="67">
        <f t="shared" si="27"/>
        <v>13.226600985221674</v>
      </c>
    </row>
    <row r="221" spans="1:18" x14ac:dyDescent="0.3">
      <c r="A221" s="61">
        <v>46354</v>
      </c>
      <c r="B221" s="62">
        <v>28</v>
      </c>
      <c r="C221" s="62">
        <f t="shared" si="21"/>
        <v>4</v>
      </c>
      <c r="D221" s="62" t="s">
        <v>241</v>
      </c>
      <c r="E221" s="62" t="str">
        <f>INDEX('Media Plan'!$B$5:$B$12,MATCH(D221,'Media Plan'!$A$5:$A$12,0))</f>
        <v>TikTok</v>
      </c>
      <c r="F221" s="62" t="str">
        <f>INDEX('Media Plan'!$D$5:$D$12,MATCH(D221,'Media Plan'!$A$5:$A$12,0))</f>
        <v>TOFU</v>
      </c>
      <c r="G221" s="63">
        <v>1203</v>
      </c>
      <c r="H221" s="63">
        <v>38659</v>
      </c>
      <c r="I221" s="63">
        <v>239</v>
      </c>
      <c r="J221" s="63">
        <v>1</v>
      </c>
      <c r="K221" s="63">
        <v>0</v>
      </c>
      <c r="L221" s="63">
        <v>0</v>
      </c>
      <c r="M221" s="64">
        <f t="shared" si="22"/>
        <v>6.1822602757443286E-3</v>
      </c>
      <c r="N221" s="65">
        <f t="shared" si="23"/>
        <v>5.03347280334728</v>
      </c>
      <c r="O221" s="66">
        <f t="shared" si="24"/>
        <v>31.118238961173336</v>
      </c>
      <c r="P221" s="64">
        <f t="shared" si="25"/>
        <v>0</v>
      </c>
      <c r="Q221" s="63" t="str">
        <f t="shared" si="26"/>
        <v>-</v>
      </c>
      <c r="R221" s="67">
        <f t="shared" si="27"/>
        <v>0</v>
      </c>
    </row>
    <row r="222" spans="1:18" x14ac:dyDescent="0.3">
      <c r="A222" s="61">
        <v>46354</v>
      </c>
      <c r="B222" s="62">
        <v>28</v>
      </c>
      <c r="C222" s="62">
        <f t="shared" si="21"/>
        <v>4</v>
      </c>
      <c r="D222" s="62" t="s">
        <v>250</v>
      </c>
      <c r="E222" s="62" t="str">
        <f>INDEX('Media Plan'!$B$5:$B$12,MATCH(D222,'Media Plan'!$A$5:$A$12,0))</f>
        <v>YouTube</v>
      </c>
      <c r="F222" s="62" t="str">
        <f>INDEX('Media Plan'!$D$5:$D$12,MATCH(D222,'Media Plan'!$A$5:$A$12,0))</f>
        <v>TOFU</v>
      </c>
      <c r="G222" s="63">
        <v>400</v>
      </c>
      <c r="H222" s="63">
        <v>9131</v>
      </c>
      <c r="I222" s="63">
        <v>25</v>
      </c>
      <c r="J222" s="63">
        <v>0</v>
      </c>
      <c r="K222" s="63">
        <v>0</v>
      </c>
      <c r="L222" s="63">
        <v>0</v>
      </c>
      <c r="M222" s="64">
        <f t="shared" si="22"/>
        <v>2.7379257474537291E-3</v>
      </c>
      <c r="N222" s="65">
        <f t="shared" si="23"/>
        <v>16</v>
      </c>
      <c r="O222" s="66">
        <f t="shared" si="24"/>
        <v>43.806811959259669</v>
      </c>
      <c r="P222" s="64">
        <f t="shared" si="25"/>
        <v>0</v>
      </c>
      <c r="Q222" s="63" t="str">
        <f t="shared" si="26"/>
        <v>-</v>
      </c>
      <c r="R222" s="67">
        <f t="shared" si="27"/>
        <v>0</v>
      </c>
    </row>
    <row r="223" spans="1:18" x14ac:dyDescent="0.3">
      <c r="A223" s="61">
        <v>46354</v>
      </c>
      <c r="B223" s="62">
        <v>28</v>
      </c>
      <c r="C223" s="62">
        <f t="shared" si="21"/>
        <v>4</v>
      </c>
      <c r="D223" s="62" t="s">
        <v>258</v>
      </c>
      <c r="E223" s="62" t="str">
        <f>INDEX('Media Plan'!$B$5:$B$12,MATCH(D223,'Media Plan'!$A$5:$A$12,0))</f>
        <v>Snapchat</v>
      </c>
      <c r="F223" s="62" t="str">
        <f>INDEX('Media Plan'!$D$5:$D$12,MATCH(D223,'Media Plan'!$A$5:$A$12,0))</f>
        <v>MOFU</v>
      </c>
      <c r="G223" s="63">
        <v>445</v>
      </c>
      <c r="H223" s="63">
        <v>17901</v>
      </c>
      <c r="I223" s="63">
        <v>98</v>
      </c>
      <c r="J223" s="63">
        <v>0</v>
      </c>
      <c r="K223" s="63">
        <v>0</v>
      </c>
      <c r="L223" s="63">
        <v>0</v>
      </c>
      <c r="M223" s="64">
        <f t="shared" si="22"/>
        <v>5.4745544941623373E-3</v>
      </c>
      <c r="N223" s="65">
        <f t="shared" si="23"/>
        <v>4.5408163265306118</v>
      </c>
      <c r="O223" s="66">
        <f t="shared" si="24"/>
        <v>24.85894642757388</v>
      </c>
      <c r="P223" s="64">
        <f t="shared" si="25"/>
        <v>0</v>
      </c>
      <c r="Q223" s="63" t="str">
        <f t="shared" si="26"/>
        <v>-</v>
      </c>
      <c r="R223" s="67">
        <f t="shared" si="27"/>
        <v>0</v>
      </c>
    </row>
    <row r="224" spans="1:18" x14ac:dyDescent="0.3">
      <c r="A224" s="61">
        <v>46354</v>
      </c>
      <c r="B224" s="62">
        <v>28</v>
      </c>
      <c r="C224" s="62">
        <f t="shared" si="21"/>
        <v>4</v>
      </c>
      <c r="D224" s="62" t="s">
        <v>266</v>
      </c>
      <c r="E224" s="62" t="str">
        <f>INDEX('Media Plan'!$B$5:$B$12,MATCH(D224,'Media Plan'!$A$5:$A$12,0))</f>
        <v>Meta</v>
      </c>
      <c r="F224" s="62" t="str">
        <f>INDEX('Media Plan'!$D$5:$D$12,MATCH(D224,'Media Plan'!$A$5:$A$12,0))</f>
        <v>MOFU</v>
      </c>
      <c r="G224" s="63">
        <v>1492</v>
      </c>
      <c r="H224" s="63">
        <v>21255</v>
      </c>
      <c r="I224" s="63">
        <v>166</v>
      </c>
      <c r="J224" s="63">
        <v>3</v>
      </c>
      <c r="K224" s="63">
        <v>0</v>
      </c>
      <c r="L224" s="63">
        <v>0</v>
      </c>
      <c r="M224" s="64">
        <f t="shared" si="22"/>
        <v>7.809927075982122E-3</v>
      </c>
      <c r="N224" s="65">
        <f t="shared" si="23"/>
        <v>8.9879518072289155</v>
      </c>
      <c r="O224" s="66">
        <f t="shared" si="24"/>
        <v>70.195248176899554</v>
      </c>
      <c r="P224" s="64">
        <f t="shared" si="25"/>
        <v>0</v>
      </c>
      <c r="Q224" s="63" t="str">
        <f t="shared" si="26"/>
        <v>-</v>
      </c>
      <c r="R224" s="67">
        <f t="shared" si="27"/>
        <v>0</v>
      </c>
    </row>
    <row r="225" spans="1:18" x14ac:dyDescent="0.3">
      <c r="A225" s="61">
        <v>46354</v>
      </c>
      <c r="B225" s="62">
        <v>28</v>
      </c>
      <c r="C225" s="62">
        <f t="shared" si="21"/>
        <v>4</v>
      </c>
      <c r="D225" s="62" t="s">
        <v>275</v>
      </c>
      <c r="E225" s="62" t="str">
        <f>INDEX('Media Plan'!$B$5:$B$12,MATCH(D225,'Media Plan'!$A$5:$A$12,0))</f>
        <v>Google Search</v>
      </c>
      <c r="F225" s="62" t="str">
        <f>INDEX('Media Plan'!$D$5:$D$12,MATCH(D225,'Media Plan'!$A$5:$A$12,0))</f>
        <v>BOFU</v>
      </c>
      <c r="G225" s="63">
        <v>1778</v>
      </c>
      <c r="H225" s="63">
        <v>5188</v>
      </c>
      <c r="I225" s="63">
        <v>291</v>
      </c>
      <c r="J225" s="63">
        <v>17</v>
      </c>
      <c r="K225" s="63">
        <v>4</v>
      </c>
      <c r="L225" s="63">
        <v>19340</v>
      </c>
      <c r="M225" s="64">
        <f t="shared" si="22"/>
        <v>5.6090979182729372E-2</v>
      </c>
      <c r="N225" s="65">
        <f t="shared" si="23"/>
        <v>6.1099656357388312</v>
      </c>
      <c r="O225" s="66">
        <f t="shared" si="24"/>
        <v>342.71395528141869</v>
      </c>
      <c r="P225" s="64">
        <f t="shared" si="25"/>
        <v>1.3745704467353952E-2</v>
      </c>
      <c r="Q225" s="63">
        <f t="shared" si="26"/>
        <v>444.5</v>
      </c>
      <c r="R225" s="67">
        <f t="shared" si="27"/>
        <v>10.877390326209223</v>
      </c>
    </row>
    <row r="226" spans="1:18" x14ac:dyDescent="0.3">
      <c r="A226" s="61">
        <v>46354</v>
      </c>
      <c r="B226" s="62">
        <v>28</v>
      </c>
      <c r="C226" s="62">
        <f t="shared" si="21"/>
        <v>4</v>
      </c>
      <c r="D226" s="62" t="s">
        <v>282</v>
      </c>
      <c r="E226" s="62" t="str">
        <f>INDEX('Media Plan'!$B$5:$B$12,MATCH(D226,'Media Plan'!$A$5:$A$12,0))</f>
        <v>Google PMax</v>
      </c>
      <c r="F226" s="62" t="str">
        <f>INDEX('Media Plan'!$D$5:$D$12,MATCH(D226,'Media Plan'!$A$5:$A$12,0))</f>
        <v>BOFU</v>
      </c>
      <c r="G226" s="63">
        <v>1040</v>
      </c>
      <c r="H226" s="63">
        <v>15806</v>
      </c>
      <c r="I226" s="63">
        <v>230</v>
      </c>
      <c r="J226" s="63">
        <v>7</v>
      </c>
      <c r="K226" s="63">
        <v>3</v>
      </c>
      <c r="L226" s="63">
        <v>15120</v>
      </c>
      <c r="M226" s="64">
        <f t="shared" si="22"/>
        <v>1.4551436163482222E-2</v>
      </c>
      <c r="N226" s="65">
        <f t="shared" si="23"/>
        <v>4.5217391304347823</v>
      </c>
      <c r="O226" s="66">
        <f t="shared" si="24"/>
        <v>65.797798304441358</v>
      </c>
      <c r="P226" s="64">
        <f t="shared" si="25"/>
        <v>1.3043478260869565E-2</v>
      </c>
      <c r="Q226" s="63">
        <f t="shared" si="26"/>
        <v>346.66666666666669</v>
      </c>
      <c r="R226" s="67">
        <f t="shared" si="27"/>
        <v>14.538461538461538</v>
      </c>
    </row>
    <row r="227" spans="1:18" x14ac:dyDescent="0.3">
      <c r="A227" s="61">
        <v>46354</v>
      </c>
      <c r="B227" s="62">
        <v>28</v>
      </c>
      <c r="C227" s="62">
        <f t="shared" si="21"/>
        <v>4</v>
      </c>
      <c r="D227" s="62" t="s">
        <v>289</v>
      </c>
      <c r="E227" s="62" t="str">
        <f>INDEX('Media Plan'!$B$5:$B$12,MATCH(D227,'Media Plan'!$A$5:$A$12,0))</f>
        <v>Meta</v>
      </c>
      <c r="F227" s="62" t="str">
        <f>INDEX('Media Plan'!$D$5:$D$12,MATCH(D227,'Media Plan'!$A$5:$A$12,0))</f>
        <v>BOFU</v>
      </c>
      <c r="G227" s="63">
        <v>1256</v>
      </c>
      <c r="H227" s="63">
        <v>11701</v>
      </c>
      <c r="I227" s="63">
        <v>187</v>
      </c>
      <c r="J227" s="63">
        <v>9</v>
      </c>
      <c r="K227" s="63">
        <v>0</v>
      </c>
      <c r="L227" s="63">
        <v>0</v>
      </c>
      <c r="M227" s="64">
        <f t="shared" si="22"/>
        <v>1.5981540039312878E-2</v>
      </c>
      <c r="N227" s="65">
        <f t="shared" si="23"/>
        <v>6.7165775401069521</v>
      </c>
      <c r="O227" s="66">
        <f t="shared" si="24"/>
        <v>107.34125288436886</v>
      </c>
      <c r="P227" s="64">
        <f t="shared" si="25"/>
        <v>0</v>
      </c>
      <c r="Q227" s="63" t="str">
        <f t="shared" si="26"/>
        <v>-</v>
      </c>
      <c r="R227" s="67">
        <f t="shared" si="27"/>
        <v>0</v>
      </c>
    </row>
    <row r="228" spans="1:18" x14ac:dyDescent="0.3">
      <c r="A228" s="61">
        <v>46354</v>
      </c>
      <c r="B228" s="62">
        <v>28</v>
      </c>
      <c r="C228" s="62">
        <f t="shared" si="21"/>
        <v>4</v>
      </c>
      <c r="D228" s="62" t="s">
        <v>296</v>
      </c>
      <c r="E228" s="62" t="str">
        <f>INDEX('Media Plan'!$B$5:$B$12,MATCH(D228,'Media Plan'!$A$5:$A$12,0))</f>
        <v>Email + WhatsApp</v>
      </c>
      <c r="F228" s="62" t="str">
        <f>INDEX('Media Plan'!$D$5:$D$12,MATCH(D228,'Media Plan'!$A$5:$A$12,0))</f>
        <v>CARE</v>
      </c>
      <c r="G228" s="63">
        <v>449</v>
      </c>
      <c r="H228" s="63">
        <v>742</v>
      </c>
      <c r="I228" s="63">
        <v>57</v>
      </c>
      <c r="J228" s="63">
        <v>8</v>
      </c>
      <c r="K228" s="63">
        <v>0</v>
      </c>
      <c r="L228" s="63">
        <v>0</v>
      </c>
      <c r="M228" s="64">
        <f t="shared" si="22"/>
        <v>7.681940700808626E-2</v>
      </c>
      <c r="N228" s="65">
        <f t="shared" si="23"/>
        <v>7.8771929824561404</v>
      </c>
      <c r="O228" s="66">
        <f t="shared" si="24"/>
        <v>605.12129380053898</v>
      </c>
      <c r="P228" s="64">
        <f t="shared" si="25"/>
        <v>0</v>
      </c>
      <c r="Q228" s="63" t="str">
        <f t="shared" si="26"/>
        <v>-</v>
      </c>
      <c r="R228" s="67">
        <f t="shared" si="27"/>
        <v>0</v>
      </c>
    </row>
    <row r="229" spans="1:18" x14ac:dyDescent="0.3">
      <c r="A229" s="61">
        <v>46355</v>
      </c>
      <c r="B229" s="62">
        <v>29</v>
      </c>
      <c r="C229" s="62">
        <f t="shared" si="21"/>
        <v>4</v>
      </c>
      <c r="D229" s="62" t="s">
        <v>241</v>
      </c>
      <c r="E229" s="62" t="str">
        <f>INDEX('Media Plan'!$B$5:$B$12,MATCH(D229,'Media Plan'!$A$5:$A$12,0))</f>
        <v>TikTok</v>
      </c>
      <c r="F229" s="62" t="str">
        <f>INDEX('Media Plan'!$D$5:$D$12,MATCH(D229,'Media Plan'!$A$5:$A$12,0))</f>
        <v>TOFU</v>
      </c>
      <c r="G229" s="63">
        <v>1192</v>
      </c>
      <c r="H229" s="63">
        <v>39091</v>
      </c>
      <c r="I229" s="63">
        <v>230</v>
      </c>
      <c r="J229" s="63">
        <v>1</v>
      </c>
      <c r="K229" s="63">
        <v>0</v>
      </c>
      <c r="L229" s="63">
        <v>0</v>
      </c>
      <c r="M229" s="64">
        <f t="shared" si="22"/>
        <v>5.8837072471924481E-3</v>
      </c>
      <c r="N229" s="65">
        <f t="shared" si="23"/>
        <v>5.1826086956521742</v>
      </c>
      <c r="O229" s="66">
        <f t="shared" si="24"/>
        <v>30.4929523419713</v>
      </c>
      <c r="P229" s="64">
        <f t="shared" si="25"/>
        <v>0</v>
      </c>
      <c r="Q229" s="63" t="str">
        <f t="shared" si="26"/>
        <v>-</v>
      </c>
      <c r="R229" s="67">
        <f t="shared" si="27"/>
        <v>0</v>
      </c>
    </row>
    <row r="230" spans="1:18" x14ac:dyDescent="0.3">
      <c r="A230" s="61">
        <v>46355</v>
      </c>
      <c r="B230" s="62">
        <v>29</v>
      </c>
      <c r="C230" s="62">
        <f t="shared" si="21"/>
        <v>4</v>
      </c>
      <c r="D230" s="62" t="s">
        <v>250</v>
      </c>
      <c r="E230" s="62" t="str">
        <f>INDEX('Media Plan'!$B$5:$B$12,MATCH(D230,'Media Plan'!$A$5:$A$12,0))</f>
        <v>YouTube</v>
      </c>
      <c r="F230" s="62" t="str">
        <f>INDEX('Media Plan'!$D$5:$D$12,MATCH(D230,'Media Plan'!$A$5:$A$12,0))</f>
        <v>TOFU</v>
      </c>
      <c r="G230" s="63">
        <v>371</v>
      </c>
      <c r="H230" s="63">
        <v>7412</v>
      </c>
      <c r="I230" s="63">
        <v>19</v>
      </c>
      <c r="J230" s="63">
        <v>1</v>
      </c>
      <c r="K230" s="63">
        <v>1</v>
      </c>
      <c r="L230" s="63">
        <v>5730</v>
      </c>
      <c r="M230" s="64">
        <f t="shared" si="22"/>
        <v>2.5634106853750674E-3</v>
      </c>
      <c r="N230" s="65">
        <f t="shared" si="23"/>
        <v>19.526315789473685</v>
      </c>
      <c r="O230" s="66">
        <f t="shared" si="24"/>
        <v>50.053966540744739</v>
      </c>
      <c r="P230" s="64">
        <f t="shared" si="25"/>
        <v>5.2631578947368418E-2</v>
      </c>
      <c r="Q230" s="63">
        <f t="shared" si="26"/>
        <v>371</v>
      </c>
      <c r="R230" s="67">
        <f t="shared" si="27"/>
        <v>15.444743935309972</v>
      </c>
    </row>
    <row r="231" spans="1:18" x14ac:dyDescent="0.3">
      <c r="A231" s="61">
        <v>46355</v>
      </c>
      <c r="B231" s="62">
        <v>29</v>
      </c>
      <c r="C231" s="62">
        <f t="shared" si="21"/>
        <v>4</v>
      </c>
      <c r="D231" s="62" t="s">
        <v>258</v>
      </c>
      <c r="E231" s="62" t="str">
        <f>INDEX('Media Plan'!$B$5:$B$12,MATCH(D231,'Media Plan'!$A$5:$A$12,0))</f>
        <v>Snapchat</v>
      </c>
      <c r="F231" s="62" t="str">
        <f>INDEX('Media Plan'!$D$5:$D$12,MATCH(D231,'Media Plan'!$A$5:$A$12,0))</f>
        <v>MOFU</v>
      </c>
      <c r="G231" s="63">
        <v>374</v>
      </c>
      <c r="H231" s="63">
        <v>14637</v>
      </c>
      <c r="I231" s="63">
        <v>74</v>
      </c>
      <c r="J231" s="63">
        <v>0</v>
      </c>
      <c r="K231" s="63">
        <v>0</v>
      </c>
      <c r="L231" s="63">
        <v>0</v>
      </c>
      <c r="M231" s="64">
        <f t="shared" si="22"/>
        <v>5.0556808089089293E-3</v>
      </c>
      <c r="N231" s="65">
        <f t="shared" si="23"/>
        <v>5.0540540540540544</v>
      </c>
      <c r="O231" s="66">
        <f t="shared" si="24"/>
        <v>25.551684088269457</v>
      </c>
      <c r="P231" s="64">
        <f t="shared" si="25"/>
        <v>0</v>
      </c>
      <c r="Q231" s="63" t="str">
        <f t="shared" si="26"/>
        <v>-</v>
      </c>
      <c r="R231" s="67">
        <f t="shared" si="27"/>
        <v>0</v>
      </c>
    </row>
    <row r="232" spans="1:18" x14ac:dyDescent="0.3">
      <c r="A232" s="61">
        <v>46355</v>
      </c>
      <c r="B232" s="62">
        <v>29</v>
      </c>
      <c r="C232" s="62">
        <f t="shared" si="21"/>
        <v>4</v>
      </c>
      <c r="D232" s="62" t="s">
        <v>266</v>
      </c>
      <c r="E232" s="62" t="str">
        <f>INDEX('Media Plan'!$B$5:$B$12,MATCH(D232,'Media Plan'!$A$5:$A$12,0))</f>
        <v>Meta</v>
      </c>
      <c r="F232" s="62" t="str">
        <f>INDEX('Media Plan'!$D$5:$D$12,MATCH(D232,'Media Plan'!$A$5:$A$12,0))</f>
        <v>MOFU</v>
      </c>
      <c r="G232" s="63">
        <v>1848</v>
      </c>
      <c r="H232" s="63">
        <v>28829</v>
      </c>
      <c r="I232" s="63">
        <v>222</v>
      </c>
      <c r="J232" s="63">
        <v>4</v>
      </c>
      <c r="K232" s="63">
        <v>1</v>
      </c>
      <c r="L232" s="63">
        <v>5350</v>
      </c>
      <c r="M232" s="64">
        <f t="shared" si="22"/>
        <v>7.7005792778105384E-3</v>
      </c>
      <c r="N232" s="65">
        <f t="shared" si="23"/>
        <v>8.3243243243243246</v>
      </c>
      <c r="O232" s="66">
        <f t="shared" si="24"/>
        <v>64.102119393666101</v>
      </c>
      <c r="P232" s="64">
        <f t="shared" si="25"/>
        <v>4.5045045045045045E-3</v>
      </c>
      <c r="Q232" s="63">
        <f t="shared" si="26"/>
        <v>1848</v>
      </c>
      <c r="R232" s="67">
        <f t="shared" si="27"/>
        <v>2.8950216450216448</v>
      </c>
    </row>
    <row r="233" spans="1:18" x14ac:dyDescent="0.3">
      <c r="A233" s="61">
        <v>46355</v>
      </c>
      <c r="B233" s="62">
        <v>29</v>
      </c>
      <c r="C233" s="62">
        <f t="shared" si="21"/>
        <v>4</v>
      </c>
      <c r="D233" s="62" t="s">
        <v>275</v>
      </c>
      <c r="E233" s="62" t="str">
        <f>INDEX('Media Plan'!$B$5:$B$12,MATCH(D233,'Media Plan'!$A$5:$A$12,0))</f>
        <v>Google Search</v>
      </c>
      <c r="F233" s="62" t="str">
        <f>INDEX('Media Plan'!$D$5:$D$12,MATCH(D233,'Media Plan'!$A$5:$A$12,0))</f>
        <v>BOFU</v>
      </c>
      <c r="G233" s="63">
        <v>1778</v>
      </c>
      <c r="H233" s="63">
        <v>5046</v>
      </c>
      <c r="I233" s="63">
        <v>309</v>
      </c>
      <c r="J233" s="63">
        <v>17</v>
      </c>
      <c r="K233" s="63">
        <v>6</v>
      </c>
      <c r="L233" s="63">
        <v>27560</v>
      </c>
      <c r="M233" s="64">
        <f t="shared" si="22"/>
        <v>6.1236623067776455E-2</v>
      </c>
      <c r="N233" s="65">
        <f t="shared" si="23"/>
        <v>5.7540453074433655</v>
      </c>
      <c r="O233" s="66">
        <f t="shared" si="24"/>
        <v>352.35830360681729</v>
      </c>
      <c r="P233" s="64">
        <f t="shared" si="25"/>
        <v>1.9417475728155338E-2</v>
      </c>
      <c r="Q233" s="63">
        <f t="shared" si="26"/>
        <v>296.33333333333331</v>
      </c>
      <c r="R233" s="67">
        <f t="shared" si="27"/>
        <v>15.500562429696288</v>
      </c>
    </row>
    <row r="234" spans="1:18" x14ac:dyDescent="0.3">
      <c r="A234" s="61">
        <v>46355</v>
      </c>
      <c r="B234" s="62">
        <v>29</v>
      </c>
      <c r="C234" s="62">
        <f t="shared" si="21"/>
        <v>4</v>
      </c>
      <c r="D234" s="62" t="s">
        <v>282</v>
      </c>
      <c r="E234" s="62" t="str">
        <f>INDEX('Media Plan'!$B$5:$B$12,MATCH(D234,'Media Plan'!$A$5:$A$12,0))</f>
        <v>Google PMax</v>
      </c>
      <c r="F234" s="62" t="str">
        <f>INDEX('Media Plan'!$D$5:$D$12,MATCH(D234,'Media Plan'!$A$5:$A$12,0))</f>
        <v>BOFU</v>
      </c>
      <c r="G234" s="63">
        <v>1054</v>
      </c>
      <c r="H234" s="63">
        <v>14910</v>
      </c>
      <c r="I234" s="63">
        <v>211</v>
      </c>
      <c r="J234" s="63">
        <v>5</v>
      </c>
      <c r="K234" s="63">
        <v>0</v>
      </c>
      <c r="L234" s="63">
        <v>0</v>
      </c>
      <c r="M234" s="64">
        <f t="shared" si="22"/>
        <v>1.415157612340711E-2</v>
      </c>
      <c r="N234" s="65">
        <f t="shared" si="23"/>
        <v>4.9952606635071088</v>
      </c>
      <c r="O234" s="66">
        <f t="shared" si="24"/>
        <v>70.690811535881963</v>
      </c>
      <c r="P234" s="64">
        <f t="shared" si="25"/>
        <v>0</v>
      </c>
      <c r="Q234" s="63" t="str">
        <f t="shared" si="26"/>
        <v>-</v>
      </c>
      <c r="R234" s="67">
        <f t="shared" si="27"/>
        <v>0</v>
      </c>
    </row>
    <row r="235" spans="1:18" x14ac:dyDescent="0.3">
      <c r="A235" s="61">
        <v>46355</v>
      </c>
      <c r="B235" s="62">
        <v>29</v>
      </c>
      <c r="C235" s="62">
        <f t="shared" si="21"/>
        <v>4</v>
      </c>
      <c r="D235" s="62" t="s">
        <v>289</v>
      </c>
      <c r="E235" s="62" t="str">
        <f>INDEX('Media Plan'!$B$5:$B$12,MATCH(D235,'Media Plan'!$A$5:$A$12,0))</f>
        <v>Meta</v>
      </c>
      <c r="F235" s="62" t="str">
        <f>INDEX('Media Plan'!$D$5:$D$12,MATCH(D235,'Media Plan'!$A$5:$A$12,0))</f>
        <v>BOFU</v>
      </c>
      <c r="G235" s="63">
        <v>1399</v>
      </c>
      <c r="H235" s="63">
        <v>14037</v>
      </c>
      <c r="I235" s="63">
        <v>231</v>
      </c>
      <c r="J235" s="63">
        <v>11</v>
      </c>
      <c r="K235" s="63">
        <v>1</v>
      </c>
      <c r="L235" s="63">
        <v>4620</v>
      </c>
      <c r="M235" s="64">
        <f t="shared" si="22"/>
        <v>1.6456507800812141E-2</v>
      </c>
      <c r="N235" s="65">
        <f t="shared" si="23"/>
        <v>6.0562770562770565</v>
      </c>
      <c r="O235" s="66">
        <f t="shared" si="24"/>
        <v>99.665170620502948</v>
      </c>
      <c r="P235" s="64">
        <f t="shared" si="25"/>
        <v>4.329004329004329E-3</v>
      </c>
      <c r="Q235" s="63">
        <f t="shared" si="26"/>
        <v>1399</v>
      </c>
      <c r="R235" s="67">
        <f t="shared" si="27"/>
        <v>3.3023588277340958</v>
      </c>
    </row>
    <row r="236" spans="1:18" x14ac:dyDescent="0.3">
      <c r="A236" s="61">
        <v>46355</v>
      </c>
      <c r="B236" s="62">
        <v>29</v>
      </c>
      <c r="C236" s="62">
        <f t="shared" si="21"/>
        <v>4</v>
      </c>
      <c r="D236" s="62" t="s">
        <v>296</v>
      </c>
      <c r="E236" s="62" t="str">
        <f>INDEX('Media Plan'!$B$5:$B$12,MATCH(D236,'Media Plan'!$A$5:$A$12,0))</f>
        <v>Email + WhatsApp</v>
      </c>
      <c r="F236" s="62" t="str">
        <f>INDEX('Media Plan'!$D$5:$D$12,MATCH(D236,'Media Plan'!$A$5:$A$12,0))</f>
        <v>CARE</v>
      </c>
      <c r="G236" s="63">
        <v>457</v>
      </c>
      <c r="H236" s="63">
        <v>768</v>
      </c>
      <c r="I236" s="63">
        <v>55</v>
      </c>
      <c r="J236" s="63">
        <v>7</v>
      </c>
      <c r="K236" s="63">
        <v>2</v>
      </c>
      <c r="L236" s="63">
        <v>8570</v>
      </c>
      <c r="M236" s="64">
        <f t="shared" si="22"/>
        <v>7.1614583333333329E-2</v>
      </c>
      <c r="N236" s="65">
        <f t="shared" si="23"/>
        <v>8.3090909090909086</v>
      </c>
      <c r="O236" s="66">
        <f t="shared" si="24"/>
        <v>595.05208333333337</v>
      </c>
      <c r="P236" s="64">
        <f t="shared" si="25"/>
        <v>3.6363636363636362E-2</v>
      </c>
      <c r="Q236" s="63">
        <f t="shared" si="26"/>
        <v>228.5</v>
      </c>
      <c r="R236" s="67">
        <f t="shared" si="27"/>
        <v>18.752735229759299</v>
      </c>
    </row>
    <row r="237" spans="1:18" x14ac:dyDescent="0.3">
      <c r="A237" s="61">
        <v>46356</v>
      </c>
      <c r="B237" s="62">
        <v>30</v>
      </c>
      <c r="C237" s="62">
        <f t="shared" si="21"/>
        <v>4</v>
      </c>
      <c r="D237" s="62" t="s">
        <v>241</v>
      </c>
      <c r="E237" s="62" t="str">
        <f>INDEX('Media Plan'!$B$5:$B$12,MATCH(D237,'Media Plan'!$A$5:$A$12,0))</f>
        <v>TikTok</v>
      </c>
      <c r="F237" s="62" t="str">
        <f>INDEX('Media Plan'!$D$5:$D$12,MATCH(D237,'Media Plan'!$A$5:$A$12,0))</f>
        <v>TOFU</v>
      </c>
      <c r="G237" s="63">
        <v>1367</v>
      </c>
      <c r="H237" s="63">
        <v>43141</v>
      </c>
      <c r="I237" s="63">
        <v>272</v>
      </c>
      <c r="J237" s="63">
        <v>2</v>
      </c>
      <c r="K237" s="63">
        <v>1</v>
      </c>
      <c r="L237" s="63">
        <v>4740</v>
      </c>
      <c r="M237" s="64">
        <f t="shared" si="22"/>
        <v>6.3049071648779587E-3</v>
      </c>
      <c r="N237" s="65">
        <f t="shared" si="23"/>
        <v>5.0257352941176467</v>
      </c>
      <c r="O237" s="66">
        <f t="shared" si="24"/>
        <v>31.686794464662388</v>
      </c>
      <c r="P237" s="64">
        <f t="shared" si="25"/>
        <v>3.6764705882352941E-3</v>
      </c>
      <c r="Q237" s="63">
        <f t="shared" si="26"/>
        <v>1367</v>
      </c>
      <c r="R237" s="67">
        <f t="shared" si="27"/>
        <v>3.467446964155084</v>
      </c>
    </row>
    <row r="238" spans="1:18" x14ac:dyDescent="0.3">
      <c r="A238" s="61">
        <v>46356</v>
      </c>
      <c r="B238" s="62">
        <v>30</v>
      </c>
      <c r="C238" s="62">
        <f t="shared" si="21"/>
        <v>4</v>
      </c>
      <c r="D238" s="62" t="s">
        <v>250</v>
      </c>
      <c r="E238" s="62" t="str">
        <f>INDEX('Media Plan'!$B$5:$B$12,MATCH(D238,'Media Plan'!$A$5:$A$12,0))</f>
        <v>YouTube</v>
      </c>
      <c r="F238" s="62" t="str">
        <f>INDEX('Media Plan'!$D$5:$D$12,MATCH(D238,'Media Plan'!$A$5:$A$12,0))</f>
        <v>TOFU</v>
      </c>
      <c r="G238" s="63">
        <v>379</v>
      </c>
      <c r="H238" s="63">
        <v>8424</v>
      </c>
      <c r="I238" s="63">
        <v>21</v>
      </c>
      <c r="J238" s="63">
        <v>0</v>
      </c>
      <c r="K238" s="63">
        <v>0</v>
      </c>
      <c r="L238" s="63">
        <v>0</v>
      </c>
      <c r="M238" s="64">
        <f t="shared" si="22"/>
        <v>2.4928774928774928E-3</v>
      </c>
      <c r="N238" s="65">
        <f t="shared" si="23"/>
        <v>18.047619047619047</v>
      </c>
      <c r="O238" s="66">
        <f t="shared" si="24"/>
        <v>44.990503323836663</v>
      </c>
      <c r="P238" s="64">
        <f t="shared" si="25"/>
        <v>0</v>
      </c>
      <c r="Q238" s="63" t="str">
        <f t="shared" si="26"/>
        <v>-</v>
      </c>
      <c r="R238" s="67">
        <f t="shared" si="27"/>
        <v>0</v>
      </c>
    </row>
    <row r="239" spans="1:18" x14ac:dyDescent="0.3">
      <c r="A239" s="61">
        <v>46356</v>
      </c>
      <c r="B239" s="62">
        <v>30</v>
      </c>
      <c r="C239" s="62">
        <f t="shared" si="21"/>
        <v>4</v>
      </c>
      <c r="D239" s="62" t="s">
        <v>258</v>
      </c>
      <c r="E239" s="62" t="str">
        <f>INDEX('Media Plan'!$B$5:$B$12,MATCH(D239,'Media Plan'!$A$5:$A$12,0))</f>
        <v>Snapchat</v>
      </c>
      <c r="F239" s="62" t="str">
        <f>INDEX('Media Plan'!$D$5:$D$12,MATCH(D239,'Media Plan'!$A$5:$A$12,0))</f>
        <v>MOFU</v>
      </c>
      <c r="G239" s="63">
        <v>422</v>
      </c>
      <c r="H239" s="63">
        <v>17241</v>
      </c>
      <c r="I239" s="63">
        <v>97</v>
      </c>
      <c r="J239" s="63">
        <v>0</v>
      </c>
      <c r="K239" s="63">
        <v>0</v>
      </c>
      <c r="L239" s="63">
        <v>0</v>
      </c>
      <c r="M239" s="64">
        <f t="shared" si="22"/>
        <v>5.6261237747230438E-3</v>
      </c>
      <c r="N239" s="65">
        <f t="shared" si="23"/>
        <v>4.3505154639175254</v>
      </c>
      <c r="O239" s="66">
        <f t="shared" si="24"/>
        <v>24.476538483846646</v>
      </c>
      <c r="P239" s="64">
        <f t="shared" si="25"/>
        <v>0</v>
      </c>
      <c r="Q239" s="63" t="str">
        <f t="shared" si="26"/>
        <v>-</v>
      </c>
      <c r="R239" s="67">
        <f t="shared" si="27"/>
        <v>0</v>
      </c>
    </row>
    <row r="240" spans="1:18" x14ac:dyDescent="0.3">
      <c r="A240" s="61">
        <v>46356</v>
      </c>
      <c r="B240" s="62">
        <v>30</v>
      </c>
      <c r="C240" s="62">
        <f t="shared" si="21"/>
        <v>4</v>
      </c>
      <c r="D240" s="62" t="s">
        <v>266</v>
      </c>
      <c r="E240" s="62" t="str">
        <f>INDEX('Media Plan'!$B$5:$B$12,MATCH(D240,'Media Plan'!$A$5:$A$12,0))</f>
        <v>Meta</v>
      </c>
      <c r="F240" s="62" t="str">
        <f>INDEX('Media Plan'!$D$5:$D$12,MATCH(D240,'Media Plan'!$A$5:$A$12,0))</f>
        <v>MOFU</v>
      </c>
      <c r="G240" s="63">
        <v>1501</v>
      </c>
      <c r="H240" s="63">
        <v>22519</v>
      </c>
      <c r="I240" s="63">
        <v>180</v>
      </c>
      <c r="J240" s="63">
        <v>4</v>
      </c>
      <c r="K240" s="63">
        <v>1</v>
      </c>
      <c r="L240" s="63">
        <v>5450</v>
      </c>
      <c r="M240" s="64">
        <f t="shared" si="22"/>
        <v>7.9932501443225716E-3</v>
      </c>
      <c r="N240" s="65">
        <f t="shared" si="23"/>
        <v>8.3388888888888886</v>
      </c>
      <c r="O240" s="66">
        <f t="shared" si="24"/>
        <v>66.654824814601</v>
      </c>
      <c r="P240" s="64">
        <f t="shared" si="25"/>
        <v>5.5555555555555558E-3</v>
      </c>
      <c r="Q240" s="63">
        <f t="shared" si="26"/>
        <v>1501</v>
      </c>
      <c r="R240" s="67">
        <f t="shared" si="27"/>
        <v>3.6309127248500999</v>
      </c>
    </row>
    <row r="241" spans="1:18" x14ac:dyDescent="0.3">
      <c r="A241" s="61">
        <v>46356</v>
      </c>
      <c r="B241" s="62">
        <v>30</v>
      </c>
      <c r="C241" s="62">
        <f t="shared" si="21"/>
        <v>4</v>
      </c>
      <c r="D241" s="62" t="s">
        <v>275</v>
      </c>
      <c r="E241" s="62" t="str">
        <f>INDEX('Media Plan'!$B$5:$B$12,MATCH(D241,'Media Plan'!$A$5:$A$12,0))</f>
        <v>Google Search</v>
      </c>
      <c r="F241" s="62" t="str">
        <f>INDEX('Media Plan'!$D$5:$D$12,MATCH(D241,'Media Plan'!$A$5:$A$12,0))</f>
        <v>BOFU</v>
      </c>
      <c r="G241" s="63">
        <v>1778</v>
      </c>
      <c r="H241" s="63">
        <v>5300</v>
      </c>
      <c r="I241" s="63">
        <v>372</v>
      </c>
      <c r="J241" s="63">
        <v>18</v>
      </c>
      <c r="K241" s="63">
        <v>6</v>
      </c>
      <c r="L241" s="63">
        <v>27530</v>
      </c>
      <c r="M241" s="64">
        <f t="shared" si="22"/>
        <v>7.018867924528302E-2</v>
      </c>
      <c r="N241" s="65">
        <f t="shared" si="23"/>
        <v>4.779569892473118</v>
      </c>
      <c r="O241" s="66">
        <f t="shared" si="24"/>
        <v>335.47169811320754</v>
      </c>
      <c r="P241" s="64">
        <f t="shared" si="25"/>
        <v>1.6129032258064516E-2</v>
      </c>
      <c r="Q241" s="63">
        <f t="shared" si="26"/>
        <v>296.33333333333331</v>
      </c>
      <c r="R241" s="67">
        <f t="shared" si="27"/>
        <v>15.483689538807649</v>
      </c>
    </row>
    <row r="242" spans="1:18" x14ac:dyDescent="0.3">
      <c r="A242" s="61">
        <v>46356</v>
      </c>
      <c r="B242" s="62">
        <v>30</v>
      </c>
      <c r="C242" s="62">
        <f t="shared" si="21"/>
        <v>4</v>
      </c>
      <c r="D242" s="62" t="s">
        <v>282</v>
      </c>
      <c r="E242" s="62" t="str">
        <f>INDEX('Media Plan'!$B$5:$B$12,MATCH(D242,'Media Plan'!$A$5:$A$12,0))</f>
        <v>Google PMax</v>
      </c>
      <c r="F242" s="62" t="str">
        <f>INDEX('Media Plan'!$D$5:$D$12,MATCH(D242,'Media Plan'!$A$5:$A$12,0))</f>
        <v>BOFU</v>
      </c>
      <c r="G242" s="63">
        <v>996</v>
      </c>
      <c r="H242" s="63">
        <v>14644</v>
      </c>
      <c r="I242" s="63">
        <v>231</v>
      </c>
      <c r="J242" s="63">
        <v>7</v>
      </c>
      <c r="K242" s="63">
        <v>0</v>
      </c>
      <c r="L242" s="63">
        <v>0</v>
      </c>
      <c r="M242" s="64">
        <f t="shared" si="22"/>
        <v>1.5774378585086041E-2</v>
      </c>
      <c r="N242" s="65">
        <f t="shared" si="23"/>
        <v>4.3116883116883118</v>
      </c>
      <c r="O242" s="66">
        <f t="shared" si="24"/>
        <v>68.014203769461886</v>
      </c>
      <c r="P242" s="64">
        <f t="shared" si="25"/>
        <v>0</v>
      </c>
      <c r="Q242" s="63" t="str">
        <f t="shared" si="26"/>
        <v>-</v>
      </c>
      <c r="R242" s="67">
        <f t="shared" si="27"/>
        <v>0</v>
      </c>
    </row>
    <row r="243" spans="1:18" x14ac:dyDescent="0.3">
      <c r="A243" s="61">
        <v>46356</v>
      </c>
      <c r="B243" s="62">
        <v>30</v>
      </c>
      <c r="C243" s="62">
        <f t="shared" si="21"/>
        <v>4</v>
      </c>
      <c r="D243" s="62" t="s">
        <v>289</v>
      </c>
      <c r="E243" s="62" t="str">
        <f>INDEX('Media Plan'!$B$5:$B$12,MATCH(D243,'Media Plan'!$A$5:$A$12,0))</f>
        <v>Meta</v>
      </c>
      <c r="F243" s="62" t="str">
        <f>INDEX('Media Plan'!$D$5:$D$12,MATCH(D243,'Media Plan'!$A$5:$A$12,0))</f>
        <v>BOFU</v>
      </c>
      <c r="G243" s="63">
        <v>1368</v>
      </c>
      <c r="H243" s="63">
        <v>12463</v>
      </c>
      <c r="I243" s="63">
        <v>173</v>
      </c>
      <c r="J243" s="63">
        <v>7</v>
      </c>
      <c r="K243" s="63">
        <v>2</v>
      </c>
      <c r="L243" s="63">
        <v>9530</v>
      </c>
      <c r="M243" s="64">
        <f t="shared" si="22"/>
        <v>1.3881088020540801E-2</v>
      </c>
      <c r="N243" s="65">
        <f t="shared" si="23"/>
        <v>7.9075144508670521</v>
      </c>
      <c r="O243" s="66">
        <f t="shared" si="24"/>
        <v>109.7649041161839</v>
      </c>
      <c r="P243" s="64">
        <f t="shared" si="25"/>
        <v>1.1560693641618497E-2</v>
      </c>
      <c r="Q243" s="63">
        <f t="shared" si="26"/>
        <v>684</v>
      </c>
      <c r="R243" s="67">
        <f t="shared" si="27"/>
        <v>6.9663742690058479</v>
      </c>
    </row>
    <row r="244" spans="1:18" x14ac:dyDescent="0.3">
      <c r="A244" s="61">
        <v>46356</v>
      </c>
      <c r="B244" s="62">
        <v>30</v>
      </c>
      <c r="C244" s="62">
        <f t="shared" si="21"/>
        <v>4</v>
      </c>
      <c r="D244" s="62" t="s">
        <v>296</v>
      </c>
      <c r="E244" s="62" t="str">
        <f>INDEX('Media Plan'!$B$5:$B$12,MATCH(D244,'Media Plan'!$A$5:$A$12,0))</f>
        <v>Email + WhatsApp</v>
      </c>
      <c r="F244" s="62" t="str">
        <f>INDEX('Media Plan'!$D$5:$D$12,MATCH(D244,'Media Plan'!$A$5:$A$12,0))</f>
        <v>CARE</v>
      </c>
      <c r="G244" s="63">
        <v>384</v>
      </c>
      <c r="H244" s="63">
        <v>597</v>
      </c>
      <c r="I244" s="63">
        <v>44</v>
      </c>
      <c r="J244" s="63">
        <v>6</v>
      </c>
      <c r="K244" s="63">
        <v>2</v>
      </c>
      <c r="L244" s="63">
        <v>10330</v>
      </c>
      <c r="M244" s="64">
        <f t="shared" si="22"/>
        <v>7.3701842546063656E-2</v>
      </c>
      <c r="N244" s="65">
        <f t="shared" si="23"/>
        <v>8.7272727272727266</v>
      </c>
      <c r="O244" s="66">
        <f t="shared" si="24"/>
        <v>643.21608040201011</v>
      </c>
      <c r="P244" s="64">
        <f t="shared" si="25"/>
        <v>4.5454545454545456E-2</v>
      </c>
      <c r="Q244" s="63">
        <f t="shared" si="26"/>
        <v>192</v>
      </c>
      <c r="R244" s="67">
        <f t="shared" si="27"/>
        <v>26.901041666666668</v>
      </c>
    </row>
  </sheetData>
  <autoFilter ref="A4:R244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58A3"/>
  </sheetPr>
  <dimension ref="A1:V28"/>
  <sheetViews>
    <sheetView showGridLines="0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ColWidth="8.6640625" defaultRowHeight="14.4" x14ac:dyDescent="0.3"/>
  <cols>
    <col min="1" max="1" width="14" customWidth="1"/>
    <col min="2" max="2" width="16" customWidth="1"/>
    <col min="3" max="3" width="12" customWidth="1"/>
    <col min="4" max="5" width="13" customWidth="1"/>
    <col min="6" max="6" width="10" customWidth="1"/>
    <col min="7" max="7" width="12" customWidth="1"/>
    <col min="8" max="9" width="10" customWidth="1"/>
    <col min="10" max="10" width="13" customWidth="1"/>
    <col min="11" max="16" width="9" customWidth="1"/>
    <col min="17" max="17" width="12" customWidth="1"/>
    <col min="18" max="19" width="9" customWidth="1"/>
    <col min="20" max="21" width="10" customWidth="1"/>
    <col min="22" max="22" width="30" customWidth="1"/>
  </cols>
  <sheetData>
    <row r="1" spans="1:22" ht="21" x14ac:dyDescent="0.4">
      <c r="A1" s="15" t="s">
        <v>663</v>
      </c>
    </row>
    <row r="2" spans="1:22" x14ac:dyDescent="0.3">
      <c r="A2" s="16" t="s">
        <v>664</v>
      </c>
    </row>
    <row r="4" spans="1:22" ht="39.6" x14ac:dyDescent="0.3">
      <c r="A4" s="17" t="s">
        <v>654</v>
      </c>
      <c r="B4" s="17" t="s">
        <v>638</v>
      </c>
      <c r="C4" s="17" t="s">
        <v>658</v>
      </c>
      <c r="D4" s="17" t="s">
        <v>665</v>
      </c>
      <c r="E4" s="17" t="s">
        <v>666</v>
      </c>
      <c r="F4" s="17" t="s">
        <v>667</v>
      </c>
      <c r="G4" s="17" t="s">
        <v>668</v>
      </c>
    </row>
    <row r="5" spans="1:22" ht="30" customHeight="1" x14ac:dyDescent="0.3">
      <c r="A5" s="68">
        <f>SUM('Sample Data'!$G$5:$G$244)</f>
        <v>249997</v>
      </c>
      <c r="B5" s="68">
        <f>SUM('Sample Data'!$L$5:$L$244)</f>
        <v>1027510</v>
      </c>
      <c r="C5" s="68">
        <f>SUM('Sample Data'!$K$5:$K$244)</f>
        <v>219</v>
      </c>
      <c r="D5" s="69">
        <f>IFERROR(B5/A5,0)</f>
        <v>4.110089321071853</v>
      </c>
      <c r="E5" s="68">
        <f>IFERROR(A5/C5,0)</f>
        <v>1141.538812785388</v>
      </c>
      <c r="F5" s="68">
        <f>B5*Inputs!$B$8-A5</f>
        <v>109631.5</v>
      </c>
      <c r="G5" s="70">
        <f>Inputs!$B$10</f>
        <v>3.5</v>
      </c>
    </row>
    <row r="7" spans="1:22" ht="15.6" x14ac:dyDescent="0.3">
      <c r="A7" s="4" t="s">
        <v>669</v>
      </c>
    </row>
    <row r="8" spans="1:22" ht="39.6" x14ac:dyDescent="0.3">
      <c r="A8" s="17" t="s">
        <v>220</v>
      </c>
      <c r="B8" s="17" t="s">
        <v>221</v>
      </c>
      <c r="C8" s="17" t="s">
        <v>95</v>
      </c>
      <c r="D8" s="17" t="s">
        <v>670</v>
      </c>
      <c r="E8" s="17" t="s">
        <v>654</v>
      </c>
      <c r="F8" s="17" t="s">
        <v>671</v>
      </c>
      <c r="G8" s="17" t="s">
        <v>655</v>
      </c>
      <c r="H8" s="17" t="s">
        <v>656</v>
      </c>
      <c r="I8" s="17" t="s">
        <v>658</v>
      </c>
      <c r="J8" s="17" t="s">
        <v>638</v>
      </c>
      <c r="K8" s="17" t="s">
        <v>231</v>
      </c>
      <c r="L8" s="17" t="s">
        <v>659</v>
      </c>
      <c r="M8" s="17" t="s">
        <v>661</v>
      </c>
      <c r="N8" s="17" t="s">
        <v>662</v>
      </c>
      <c r="O8" s="17" t="s">
        <v>287</v>
      </c>
      <c r="P8" s="17" t="s">
        <v>672</v>
      </c>
      <c r="Q8" s="17" t="s">
        <v>673</v>
      </c>
      <c r="R8" s="17" t="s">
        <v>674</v>
      </c>
      <c r="S8" s="17" t="s">
        <v>675</v>
      </c>
      <c r="T8" s="17" t="s">
        <v>676</v>
      </c>
      <c r="U8" s="17" t="s">
        <v>677</v>
      </c>
      <c r="V8" s="17" t="s">
        <v>678</v>
      </c>
    </row>
    <row r="9" spans="1:22" x14ac:dyDescent="0.3">
      <c r="A9" s="71" t="str">
        <f>'Media Plan'!A5</f>
        <v>C01</v>
      </c>
      <c r="B9" s="71" t="str">
        <f>'Media Plan'!B5</f>
        <v>TikTok</v>
      </c>
      <c r="C9" s="71" t="str">
        <f>'Media Plan'!D5</f>
        <v>TOFU</v>
      </c>
      <c r="D9" s="72">
        <f>'Media Plan'!J5</f>
        <v>37500</v>
      </c>
      <c r="E9" s="72">
        <f>SUMIFS('Sample Data'!$G$5:$G$244,'Sample Data'!$D$5:$D$244,$A9)</f>
        <v>38529</v>
      </c>
      <c r="F9" s="73">
        <f t="shared" ref="F9:F17" si="0">IFERROR(E9/D9,0)</f>
        <v>1.0274399999999999</v>
      </c>
      <c r="G9" s="72">
        <f>SUMIFS('Sample Data'!$H$5:$H$244,'Sample Data'!$D$5:$D$244,$A9)</f>
        <v>1286300</v>
      </c>
      <c r="H9" s="72">
        <f>SUMIFS('Sample Data'!$I$5:$I$244,'Sample Data'!$D$5:$D$244,$A9)</f>
        <v>7810</v>
      </c>
      <c r="I9" s="72">
        <f>SUMIFS('Sample Data'!$K$5:$K$244,'Sample Data'!$D$5:$D$244,$A9)</f>
        <v>3</v>
      </c>
      <c r="J9" s="72">
        <f>SUMIFS('Sample Data'!$L$5:$L$244,'Sample Data'!$D$5:$D$244,$A9)</f>
        <v>14040</v>
      </c>
      <c r="K9" s="74">
        <f t="shared" ref="K9:K17" si="1">IFERROR(H9/G9,0)</f>
        <v>6.0716784575915415E-3</v>
      </c>
      <c r="L9" s="75">
        <f t="shared" ref="L9:L17" si="2">IFERROR(E9/H9,0)</f>
        <v>4.9332906530089629</v>
      </c>
      <c r="M9" s="74">
        <f t="shared" ref="M9:M17" si="3">IFERROR(I9/H9,0)</f>
        <v>3.8412291933418694E-4</v>
      </c>
      <c r="N9" s="72">
        <f t="shared" ref="N9:N16" si="4">IFERROR(E9/I9,"-")</f>
        <v>12843</v>
      </c>
      <c r="O9" s="76">
        <f t="shared" ref="O9:O17" si="5">IFERROR(J9/E9,0)</f>
        <v>0.36440084092501751</v>
      </c>
      <c r="P9" s="77">
        <f>IFERROR(O9/Inputs!$B$10-1,0)</f>
        <v>-0.8958854740214236</v>
      </c>
      <c r="Q9" s="78">
        <f>IFERROR(INDEX(Attribution!$H$21:$H$28,MATCH('Media Plan'!C5,Attribution!$A$21:$A$28,0)),0)</f>
        <v>0.1956442831215971</v>
      </c>
      <c r="R9" s="74">
        <f>IFERROR(SUMIFS('Sample Data'!$I$5:$I$244,'Sample Data'!$D$5:$D$244,$A9,'Sample Data'!$C$5:$C$244,1)/SUMIFS('Sample Data'!$H$5:$H$244,'Sample Data'!$D$5:$D$244,$A9,'Sample Data'!$C$5:$C$244,1),0)</f>
        <v>5.9070443368929139E-3</v>
      </c>
      <c r="S9" s="74">
        <f>IFERROR(SUMIFS('Sample Data'!$I$5:$I$244,'Sample Data'!$D$5:$D$244,$A9,'Sample Data'!$C$5:$C$244,4)/SUMIFS('Sample Data'!$H$5:$H$244,'Sample Data'!$D$5:$D$244,$A9,'Sample Data'!$C$5:$C$244,4),0)</f>
        <v>5.9365850117360482E-3</v>
      </c>
      <c r="T9" s="77">
        <f t="shared" ref="T9:T16" si="6">IFERROR(S9/R9-1,0)</f>
        <v>5.0009231619669858E-3</v>
      </c>
      <c r="U9" s="71" t="str">
        <f>IF(T9&lt;=-Inputs!$B$14,"FATIGUE","")</f>
        <v/>
      </c>
      <c r="V9" s="71" t="str">
        <f>IF(O9&gt;=Inputs!$B$10*Inputs!$B$12,"SCALE",IF(O9&gt;=Inputs!$B$9,"HOLD",IF(OR(C9="TOFU",C9="MOFU"),IF(Q9&gt;=Inputs!$B$13,"KEEP: ASSISTS","CUT"),"FIX")))&amp;IF(U9="FATIGUE"," + REFRESH CREATIVE","")</f>
        <v>KEEP: ASSISTS</v>
      </c>
    </row>
    <row r="10" spans="1:22" x14ac:dyDescent="0.3">
      <c r="A10" s="71" t="str">
        <f>'Media Plan'!A6</f>
        <v>C02</v>
      </c>
      <c r="B10" s="71" t="str">
        <f>'Media Plan'!B6</f>
        <v>YouTube</v>
      </c>
      <c r="C10" s="71" t="str">
        <f>'Media Plan'!D6</f>
        <v>TOFU</v>
      </c>
      <c r="D10" s="72">
        <f>'Media Plan'!J6</f>
        <v>12500</v>
      </c>
      <c r="E10" s="72">
        <f>SUMIFS('Sample Data'!$G$5:$G$244,'Sample Data'!$D$5:$D$244,$A10)</f>
        <v>12648</v>
      </c>
      <c r="F10" s="73">
        <f t="shared" si="0"/>
        <v>1.0118400000000001</v>
      </c>
      <c r="G10" s="72">
        <f>SUMIFS('Sample Data'!$H$5:$H$244,'Sample Data'!$D$5:$D$244,$A10)</f>
        <v>266686</v>
      </c>
      <c r="H10" s="72">
        <f>SUMIFS('Sample Data'!$I$5:$I$244,'Sample Data'!$D$5:$D$244,$A10)</f>
        <v>724</v>
      </c>
      <c r="I10" s="72">
        <f>SUMIFS('Sample Data'!$K$5:$K$244,'Sample Data'!$D$5:$D$244,$A10)</f>
        <v>2</v>
      </c>
      <c r="J10" s="72">
        <f>SUMIFS('Sample Data'!$L$5:$L$244,'Sample Data'!$D$5:$D$244,$A10)</f>
        <v>11170</v>
      </c>
      <c r="K10" s="74">
        <f t="shared" si="1"/>
        <v>2.7148031767696844E-3</v>
      </c>
      <c r="L10" s="75">
        <f t="shared" si="2"/>
        <v>17.46961325966851</v>
      </c>
      <c r="M10" s="74">
        <f t="shared" si="3"/>
        <v>2.7624309392265192E-3</v>
      </c>
      <c r="N10" s="72">
        <f t="shared" si="4"/>
        <v>6324</v>
      </c>
      <c r="O10" s="76">
        <f t="shared" si="5"/>
        <v>0.88314358001265025</v>
      </c>
      <c r="P10" s="77">
        <f>IFERROR(O10/Inputs!$B$10-1,0)</f>
        <v>-0.74767326285352853</v>
      </c>
      <c r="Q10" s="78">
        <f>IFERROR(INDEX(Attribution!$H$21:$H$28,MATCH('Media Plan'!C6,Attribution!$A$21:$A$28,0)),0)</f>
        <v>3.720508166969147E-2</v>
      </c>
      <c r="R10" s="74">
        <f>IFERROR(SUMIFS('Sample Data'!$I$5:$I$244,'Sample Data'!$D$5:$D$244,$A10,'Sample Data'!$C$5:$C$244,1)/SUMIFS('Sample Data'!$H$5:$H$244,'Sample Data'!$D$5:$D$244,$A10,'Sample Data'!$C$5:$C$244,1),0)</f>
        <v>2.8888703348083828E-3</v>
      </c>
      <c r="S10" s="74">
        <f>IFERROR(SUMIFS('Sample Data'!$I$5:$I$244,'Sample Data'!$D$5:$D$244,$A10,'Sample Data'!$C$5:$C$244,4)/SUMIFS('Sample Data'!$H$5:$H$244,'Sample Data'!$D$5:$D$244,$A10,'Sample Data'!$C$5:$C$244,4),0)</f>
        <v>2.6034276407516624E-3</v>
      </c>
      <c r="T10" s="77">
        <f t="shared" si="6"/>
        <v>-9.8807721003391302E-2</v>
      </c>
      <c r="U10" s="71" t="str">
        <f>IF(T10&lt;=-Inputs!$B$14,"FATIGUE","")</f>
        <v/>
      </c>
      <c r="V10" s="71" t="str">
        <f>IF(O10&gt;=Inputs!$B$10*Inputs!$B$12,"SCALE",IF(O10&gt;=Inputs!$B$9,"HOLD",IF(OR(C10="TOFU",C10="MOFU"),IF(Q10&gt;=Inputs!$B$13,"KEEP: ASSISTS","CUT"),"FIX")))&amp;IF(U10="FATIGUE"," + REFRESH CREATIVE","")</f>
        <v>CUT</v>
      </c>
    </row>
    <row r="11" spans="1:22" x14ac:dyDescent="0.3">
      <c r="A11" s="71" t="str">
        <f>'Media Plan'!A7</f>
        <v>C03</v>
      </c>
      <c r="B11" s="71" t="str">
        <f>'Media Plan'!B7</f>
        <v>Snapchat</v>
      </c>
      <c r="C11" s="71" t="str">
        <f>'Media Plan'!D7</f>
        <v>MOFU</v>
      </c>
      <c r="D11" s="72">
        <f>'Media Plan'!J7</f>
        <v>12500</v>
      </c>
      <c r="E11" s="72">
        <f>SUMIFS('Sample Data'!$G$5:$G$244,'Sample Data'!$D$5:$D$244,$A11)</f>
        <v>12374</v>
      </c>
      <c r="F11" s="73">
        <f t="shared" si="0"/>
        <v>0.98992000000000002</v>
      </c>
      <c r="G11" s="72">
        <f>SUMIFS('Sample Data'!$H$5:$H$244,'Sample Data'!$D$5:$D$244,$A11)</f>
        <v>492271</v>
      </c>
      <c r="H11" s="72">
        <f>SUMIFS('Sample Data'!$I$5:$I$244,'Sample Data'!$D$5:$D$244,$A11)</f>
        <v>2600</v>
      </c>
      <c r="I11" s="72">
        <f>SUMIFS('Sample Data'!$K$5:$K$244,'Sample Data'!$D$5:$D$244,$A11)</f>
        <v>2</v>
      </c>
      <c r="J11" s="72">
        <f>SUMIFS('Sample Data'!$L$5:$L$244,'Sample Data'!$D$5:$D$244,$A11)</f>
        <v>8990</v>
      </c>
      <c r="K11" s="74">
        <f t="shared" si="1"/>
        <v>5.2816436475031031E-3</v>
      </c>
      <c r="L11" s="75">
        <f t="shared" si="2"/>
        <v>4.7592307692307694</v>
      </c>
      <c r="M11" s="74">
        <f t="shared" si="3"/>
        <v>7.6923076923076923E-4</v>
      </c>
      <c r="N11" s="72">
        <f t="shared" si="4"/>
        <v>6187</v>
      </c>
      <c r="O11" s="76">
        <f t="shared" si="5"/>
        <v>0.72652335542266044</v>
      </c>
      <c r="P11" s="77">
        <f>IFERROR(O11/Inputs!$B$10-1,0)</f>
        <v>-0.79242189845066846</v>
      </c>
      <c r="Q11" s="78">
        <f>IFERROR(INDEX(Attribution!$H$21:$H$28,MATCH('Media Plan'!C7,Attribution!$A$21:$A$28,0)),0)</f>
        <v>3.3575317604355719E-2</v>
      </c>
      <c r="R11" s="74">
        <f>IFERROR(SUMIFS('Sample Data'!$I$5:$I$244,'Sample Data'!$D$5:$D$244,$A11,'Sample Data'!$C$5:$C$244,1)/SUMIFS('Sample Data'!$H$5:$H$244,'Sample Data'!$D$5:$D$244,$A11,'Sample Data'!$C$5:$C$244,1),0)</f>
        <v>5.3483959225100394E-3</v>
      </c>
      <c r="S11" s="74">
        <f>IFERROR(SUMIFS('Sample Data'!$I$5:$I$244,'Sample Data'!$D$5:$D$244,$A11,'Sample Data'!$C$5:$C$244,4)/SUMIFS('Sample Data'!$H$5:$H$244,'Sample Data'!$D$5:$D$244,$A11,'Sample Data'!$C$5:$C$244,4),0)</f>
        <v>5.3584242611209101E-3</v>
      </c>
      <c r="T11" s="77">
        <f t="shared" si="6"/>
        <v>1.8750179972024661E-3</v>
      </c>
      <c r="U11" s="71" t="str">
        <f>IF(T11&lt;=-Inputs!$B$14,"FATIGUE","")</f>
        <v/>
      </c>
      <c r="V11" s="71" t="str">
        <f>IF(O11&gt;=Inputs!$B$10*Inputs!$B$12,"SCALE",IF(O11&gt;=Inputs!$B$9,"HOLD",IF(OR(C11="TOFU",C11="MOFU"),IF(Q11&gt;=Inputs!$B$13,"KEEP: ASSISTS","CUT"),"FIX")))&amp;IF(U11="FATIGUE"," + REFRESH CREATIVE","")</f>
        <v>CUT</v>
      </c>
    </row>
    <row r="12" spans="1:22" x14ac:dyDescent="0.3">
      <c r="A12" s="71" t="str">
        <f>'Media Plan'!A8</f>
        <v>C04</v>
      </c>
      <c r="B12" s="71" t="str">
        <f>'Media Plan'!B8</f>
        <v>Meta</v>
      </c>
      <c r="C12" s="71" t="str">
        <f>'Media Plan'!D8</f>
        <v>MOFU</v>
      </c>
      <c r="D12" s="72">
        <f>'Media Plan'!J8</f>
        <v>50000</v>
      </c>
      <c r="E12" s="72">
        <f>SUMIFS('Sample Data'!$G$5:$G$244,'Sample Data'!$D$5:$D$244,$A12)</f>
        <v>49719</v>
      </c>
      <c r="F12" s="73">
        <f t="shared" si="0"/>
        <v>0.99438000000000004</v>
      </c>
      <c r="G12" s="72">
        <f>SUMIFS('Sample Data'!$H$5:$H$244,'Sample Data'!$D$5:$D$244,$A12)</f>
        <v>842473</v>
      </c>
      <c r="H12" s="72">
        <f>SUMIFS('Sample Data'!$I$5:$I$244,'Sample Data'!$D$5:$D$244,$A12)</f>
        <v>10117</v>
      </c>
      <c r="I12" s="72">
        <f>SUMIFS('Sample Data'!$K$5:$K$244,'Sample Data'!$D$5:$D$244,$A12)</f>
        <v>33</v>
      </c>
      <c r="J12" s="72">
        <f>SUMIFS('Sample Data'!$L$5:$L$244,'Sample Data'!$D$5:$D$244,$A12)</f>
        <v>156240</v>
      </c>
      <c r="K12" s="74">
        <f t="shared" si="1"/>
        <v>1.2008693453677447E-2</v>
      </c>
      <c r="L12" s="75">
        <f t="shared" si="2"/>
        <v>4.9144015024216667</v>
      </c>
      <c r="M12" s="74">
        <f t="shared" si="3"/>
        <v>3.2618365128002373E-3</v>
      </c>
      <c r="N12" s="72">
        <f t="shared" si="4"/>
        <v>1506.6363636363637</v>
      </c>
      <c r="O12" s="76">
        <f t="shared" si="5"/>
        <v>3.142460628733482</v>
      </c>
      <c r="P12" s="77">
        <f>IFERROR(O12/Inputs!$B$10-1,0)</f>
        <v>-0.10215410607614805</v>
      </c>
      <c r="Q12" s="78">
        <f>IFERROR(INDEX(Attribution!$H$21:$H$28,MATCH('Media Plan'!C8,Attribution!$A$21:$A$28,0)),0)</f>
        <v>9.7640653357531762E-2</v>
      </c>
      <c r="R12" s="74">
        <f>IFERROR(SUMIFS('Sample Data'!$I$5:$I$244,'Sample Data'!$D$5:$D$244,$A12,'Sample Data'!$C$5:$C$244,1)/SUMIFS('Sample Data'!$H$5:$H$244,'Sample Data'!$D$5:$D$244,$A12,'Sample Data'!$C$5:$C$244,1),0)</f>
        <v>1.346892234658972E-2</v>
      </c>
      <c r="S12" s="74">
        <f>IFERROR(SUMIFS('Sample Data'!$I$5:$I$244,'Sample Data'!$D$5:$D$244,$A12,'Sample Data'!$C$5:$C$244,4)/SUMIFS('Sample Data'!$H$5:$H$244,'Sample Data'!$D$5:$D$244,$A12,'Sample Data'!$C$5:$C$244,4),0)</f>
        <v>8.903383109538459E-3</v>
      </c>
      <c r="T12" s="77">
        <f t="shared" si="6"/>
        <v>-0.33896841332723537</v>
      </c>
      <c r="U12" s="71" t="str">
        <f>IF(T12&lt;=-Inputs!$B$14,"FATIGUE","")</f>
        <v>FATIGUE</v>
      </c>
      <c r="V12" s="71" t="str">
        <f>IF(O12&gt;=Inputs!$B$10*Inputs!$B$12,"SCALE",IF(O12&gt;=Inputs!$B$9,"HOLD",IF(OR(C12="TOFU",C12="MOFU"),IF(Q12&gt;=Inputs!$B$13,"KEEP: ASSISTS","CUT"),"FIX")))&amp;IF(U12="FATIGUE"," + REFRESH CREATIVE","")</f>
        <v>HOLD + REFRESH CREATIVE</v>
      </c>
    </row>
    <row r="13" spans="1:22" x14ac:dyDescent="0.3">
      <c r="A13" s="71" t="str">
        <f>'Media Plan'!A9</f>
        <v>C05</v>
      </c>
      <c r="B13" s="71" t="str">
        <f>'Media Plan'!B9</f>
        <v>Google Search</v>
      </c>
      <c r="C13" s="71" t="str">
        <f>'Media Plan'!D9</f>
        <v>BOFU</v>
      </c>
      <c r="D13" s="72">
        <f>'Media Plan'!J9</f>
        <v>55000</v>
      </c>
      <c r="E13" s="72">
        <f>SUMIFS('Sample Data'!$G$5:$G$244,'Sample Data'!$D$5:$D$244,$A13)</f>
        <v>53340</v>
      </c>
      <c r="F13" s="73">
        <f t="shared" si="0"/>
        <v>0.9698181818181818</v>
      </c>
      <c r="G13" s="72">
        <f>SUMIFS('Sample Data'!$H$5:$H$244,'Sample Data'!$D$5:$D$244,$A13)</f>
        <v>148147</v>
      </c>
      <c r="H13" s="72">
        <f>SUMIFS('Sample Data'!$I$5:$I$244,'Sample Data'!$D$5:$D$244,$A13)</f>
        <v>9334</v>
      </c>
      <c r="I13" s="72">
        <f>SUMIFS('Sample Data'!$K$5:$K$244,'Sample Data'!$D$5:$D$244,$A13)</f>
        <v>82</v>
      </c>
      <c r="J13" s="72">
        <f>SUMIFS('Sample Data'!$L$5:$L$244,'Sample Data'!$D$5:$D$244,$A13)</f>
        <v>387450</v>
      </c>
      <c r="K13" s="74">
        <f t="shared" si="1"/>
        <v>6.3004988288659233E-2</v>
      </c>
      <c r="L13" s="75">
        <f t="shared" si="2"/>
        <v>5.7145918148703663</v>
      </c>
      <c r="M13" s="74">
        <f t="shared" si="3"/>
        <v>8.7850867795157481E-3</v>
      </c>
      <c r="N13" s="72">
        <f t="shared" si="4"/>
        <v>650.48780487804879</v>
      </c>
      <c r="O13" s="76">
        <f t="shared" si="5"/>
        <v>7.2637795275590555</v>
      </c>
      <c r="P13" s="77">
        <f>IFERROR(O13/Inputs!$B$10-1,0)</f>
        <v>1.0753655793025874</v>
      </c>
      <c r="Q13" s="78">
        <f>IFERROR(INDEX(Attribution!$H$21:$H$28,MATCH('Media Plan'!C9,Attribution!$A$21:$A$28,0)),0)</f>
        <v>0.23992740471869328</v>
      </c>
      <c r="R13" s="74">
        <f>IFERROR(SUMIFS('Sample Data'!$I$5:$I$244,'Sample Data'!$D$5:$D$244,$A13,'Sample Data'!$C$5:$C$244,1)/SUMIFS('Sample Data'!$H$5:$H$244,'Sample Data'!$D$5:$D$244,$A13,'Sample Data'!$C$5:$C$244,1),0)</f>
        <v>6.4031666569648996E-2</v>
      </c>
      <c r="S13" s="74">
        <f>IFERROR(SUMIFS('Sample Data'!$I$5:$I$244,'Sample Data'!$D$5:$D$244,$A13,'Sample Data'!$C$5:$C$244,4)/SUMIFS('Sample Data'!$H$5:$H$244,'Sample Data'!$D$5:$D$244,$A13,'Sample Data'!$C$5:$C$244,4),0)</f>
        <v>6.326238005955663E-2</v>
      </c>
      <c r="T13" s="77">
        <f t="shared" si="6"/>
        <v>-1.2014157233524281E-2</v>
      </c>
      <c r="U13" s="71" t="str">
        <f>IF(T13&lt;=-Inputs!$B$14,"FATIGUE","")</f>
        <v/>
      </c>
      <c r="V13" s="71" t="str">
        <f>IF(O13&gt;=Inputs!$B$10*Inputs!$B$12,"SCALE",IF(O13&gt;=Inputs!$B$9,"HOLD",IF(OR(C13="TOFU",C13="MOFU"),IF(Q13&gt;=Inputs!$B$13,"KEEP: ASSISTS","CUT"),"FIX")))&amp;IF(U13="FATIGUE"," + REFRESH CREATIVE","")</f>
        <v>SCALE</v>
      </c>
    </row>
    <row r="14" spans="1:22" x14ac:dyDescent="0.3">
      <c r="A14" s="71" t="str">
        <f>'Media Plan'!A10</f>
        <v>C06</v>
      </c>
      <c r="B14" s="71" t="str">
        <f>'Media Plan'!B10</f>
        <v>Google PMax</v>
      </c>
      <c r="C14" s="71" t="str">
        <f>'Media Plan'!D10</f>
        <v>BOFU</v>
      </c>
      <c r="D14" s="72">
        <f>'Media Plan'!J10</f>
        <v>32500</v>
      </c>
      <c r="E14" s="72">
        <f>SUMIFS('Sample Data'!$G$5:$G$244,'Sample Data'!$D$5:$D$244,$A14)</f>
        <v>32705</v>
      </c>
      <c r="F14" s="73">
        <f t="shared" si="0"/>
        <v>1.0063076923076923</v>
      </c>
      <c r="G14" s="72">
        <f>SUMIFS('Sample Data'!$H$5:$H$244,'Sample Data'!$D$5:$D$244,$A14)</f>
        <v>466390</v>
      </c>
      <c r="H14" s="72">
        <f>SUMIFS('Sample Data'!$I$5:$I$244,'Sample Data'!$D$5:$D$244,$A14)</f>
        <v>6974</v>
      </c>
      <c r="I14" s="72">
        <f>SUMIFS('Sample Data'!$K$5:$K$244,'Sample Data'!$D$5:$D$244,$A14)</f>
        <v>28</v>
      </c>
      <c r="J14" s="72">
        <f>SUMIFS('Sample Data'!$L$5:$L$244,'Sample Data'!$D$5:$D$244,$A14)</f>
        <v>132370</v>
      </c>
      <c r="K14" s="74">
        <f t="shared" si="1"/>
        <v>1.4953150796543664E-2</v>
      </c>
      <c r="L14" s="75">
        <f t="shared" si="2"/>
        <v>4.6895612274161174</v>
      </c>
      <c r="M14" s="74">
        <f t="shared" si="3"/>
        <v>4.0149125322626903E-3</v>
      </c>
      <c r="N14" s="72">
        <f t="shared" si="4"/>
        <v>1168.0357142857142</v>
      </c>
      <c r="O14" s="76">
        <f t="shared" si="5"/>
        <v>4.0473933649289098</v>
      </c>
      <c r="P14" s="77">
        <f>IFERROR(O14/Inputs!$B$10-1,0)</f>
        <v>0.15639810426540279</v>
      </c>
      <c r="Q14" s="78">
        <f>IFERROR(INDEX(Attribution!$H$21:$H$28,MATCH('Media Plan'!C10,Attribution!$A$21:$A$28,0)),0)</f>
        <v>0.13557168784029039</v>
      </c>
      <c r="R14" s="74">
        <f>IFERROR(SUMIFS('Sample Data'!$I$5:$I$244,'Sample Data'!$D$5:$D$244,$A14,'Sample Data'!$C$5:$C$244,1)/SUMIFS('Sample Data'!$H$5:$H$244,'Sample Data'!$D$5:$D$244,$A14,'Sample Data'!$C$5:$C$244,1),0)</f>
        <v>1.4619559198139329E-2</v>
      </c>
      <c r="S14" s="74">
        <f>IFERROR(SUMIFS('Sample Data'!$I$5:$I$244,'Sample Data'!$D$5:$D$244,$A14,'Sample Data'!$C$5:$C$244,4)/SUMIFS('Sample Data'!$H$5:$H$244,'Sample Data'!$D$5:$D$244,$A14,'Sample Data'!$C$5:$C$244,4),0)</f>
        <v>1.4695348281924939E-2</v>
      </c>
      <c r="T14" s="77">
        <f t="shared" si="6"/>
        <v>5.1840881628808511E-3</v>
      </c>
      <c r="U14" s="71" t="str">
        <f>IF(T14&lt;=-Inputs!$B$14,"FATIGUE","")</f>
        <v/>
      </c>
      <c r="V14" s="71" t="str">
        <f>IF(O14&gt;=Inputs!$B$10*Inputs!$B$12,"SCALE",IF(O14&gt;=Inputs!$B$9,"HOLD",IF(OR(C14="TOFU",C14="MOFU"),IF(Q14&gt;=Inputs!$B$13,"KEEP: ASSISTS","CUT"),"FIX")))&amp;IF(U14="FATIGUE"," + REFRESH CREATIVE","")</f>
        <v>HOLD</v>
      </c>
    </row>
    <row r="15" spans="1:22" x14ac:dyDescent="0.3">
      <c r="A15" s="71" t="str">
        <f>'Media Plan'!A11</f>
        <v>C07</v>
      </c>
      <c r="B15" s="71" t="str">
        <f>'Media Plan'!B11</f>
        <v>Meta</v>
      </c>
      <c r="C15" s="71" t="str">
        <f>'Media Plan'!D11</f>
        <v>BOFU</v>
      </c>
      <c r="D15" s="72">
        <f>'Media Plan'!J11</f>
        <v>37500</v>
      </c>
      <c r="E15" s="72">
        <f>SUMIFS('Sample Data'!$G$5:$G$244,'Sample Data'!$D$5:$D$244,$A15)</f>
        <v>37984</v>
      </c>
      <c r="F15" s="73">
        <f t="shared" si="0"/>
        <v>1.0129066666666666</v>
      </c>
      <c r="G15" s="72">
        <f>SUMIFS('Sample Data'!$H$5:$H$244,'Sample Data'!$D$5:$D$244,$A15)</f>
        <v>412727</v>
      </c>
      <c r="H15" s="72">
        <f>SUMIFS('Sample Data'!$I$5:$I$244,'Sample Data'!$D$5:$D$244,$A15)</f>
        <v>7028</v>
      </c>
      <c r="I15" s="72">
        <f>SUMIFS('Sample Data'!$K$5:$K$244,'Sample Data'!$D$5:$D$244,$A15)</f>
        <v>43</v>
      </c>
      <c r="J15" s="72">
        <f>SUMIFS('Sample Data'!$L$5:$L$244,'Sample Data'!$D$5:$D$244,$A15)</f>
        <v>200860</v>
      </c>
      <c r="K15" s="74">
        <f t="shared" si="1"/>
        <v>1.7028205084717016E-2</v>
      </c>
      <c r="L15" s="75">
        <f t="shared" si="2"/>
        <v>5.4046670461013093</v>
      </c>
      <c r="M15" s="74">
        <f t="shared" si="3"/>
        <v>6.1183836084234495E-3</v>
      </c>
      <c r="N15" s="72">
        <f t="shared" si="4"/>
        <v>883.34883720930236</v>
      </c>
      <c r="O15" s="76">
        <f t="shared" si="5"/>
        <v>5.2880160067396798</v>
      </c>
      <c r="P15" s="77">
        <f>IFERROR(O15/Inputs!$B$10-1,0)</f>
        <v>0.51086171621133714</v>
      </c>
      <c r="Q15" s="78">
        <f>IFERROR(INDEX(Attribution!$H$21:$H$28,MATCH('Media Plan'!C11,Attribution!$A$21:$A$28,0)),0)</f>
        <v>9.9274047186932848E-2</v>
      </c>
      <c r="R15" s="74">
        <f>IFERROR(SUMIFS('Sample Data'!$I$5:$I$244,'Sample Data'!$D$5:$D$244,$A15,'Sample Data'!$C$5:$C$244,1)/SUMIFS('Sample Data'!$H$5:$H$244,'Sample Data'!$D$5:$D$244,$A15,'Sample Data'!$C$5:$C$244,1),0)</f>
        <v>1.7734159779614324E-2</v>
      </c>
      <c r="S15" s="74">
        <f>IFERROR(SUMIFS('Sample Data'!$I$5:$I$244,'Sample Data'!$D$5:$D$244,$A15,'Sample Data'!$C$5:$C$244,4)/SUMIFS('Sample Data'!$H$5:$H$244,'Sample Data'!$D$5:$D$244,$A15,'Sample Data'!$C$5:$C$244,4),0)</f>
        <v>1.5310028068384792E-2</v>
      </c>
      <c r="T15" s="77">
        <f t="shared" si="6"/>
        <v>-0.13669278620214675</v>
      </c>
      <c r="U15" s="71" t="str">
        <f>IF(T15&lt;=-Inputs!$B$14,"FATIGUE","")</f>
        <v/>
      </c>
      <c r="V15" s="71" t="str">
        <f>IF(O15&gt;=Inputs!$B$10*Inputs!$B$12,"SCALE",IF(O15&gt;=Inputs!$B$9,"HOLD",IF(OR(C15="TOFU",C15="MOFU"),IF(Q15&gt;=Inputs!$B$13,"KEEP: ASSISTS","CUT"),"FIX")))&amp;IF(U15="FATIGUE"," + REFRESH CREATIVE","")</f>
        <v>SCALE</v>
      </c>
    </row>
    <row r="16" spans="1:22" x14ac:dyDescent="0.3">
      <c r="A16" s="71" t="str">
        <f>'Media Plan'!A12</f>
        <v>C08</v>
      </c>
      <c r="B16" s="71" t="str">
        <f>'Media Plan'!B12</f>
        <v>Email + WhatsApp</v>
      </c>
      <c r="C16" s="71" t="str">
        <f>'Media Plan'!D12</f>
        <v>CARE</v>
      </c>
      <c r="D16" s="72">
        <f>'Media Plan'!J12</f>
        <v>12500</v>
      </c>
      <c r="E16" s="72">
        <f>SUMIFS('Sample Data'!$G$5:$G$244,'Sample Data'!$D$5:$D$244,$A16)</f>
        <v>12698</v>
      </c>
      <c r="F16" s="73">
        <f t="shared" si="0"/>
        <v>1.0158400000000001</v>
      </c>
      <c r="G16" s="72">
        <f>SUMIFS('Sample Data'!$H$5:$H$244,'Sample Data'!$D$5:$D$244,$A16)</f>
        <v>20939</v>
      </c>
      <c r="H16" s="72">
        <f>SUMIFS('Sample Data'!$I$5:$I$244,'Sample Data'!$D$5:$D$244,$A16)</f>
        <v>1670</v>
      </c>
      <c r="I16" s="72">
        <f>SUMIFS('Sample Data'!$K$5:$K$244,'Sample Data'!$D$5:$D$244,$A16)</f>
        <v>26</v>
      </c>
      <c r="J16" s="72">
        <f>SUMIFS('Sample Data'!$L$5:$L$244,'Sample Data'!$D$5:$D$244,$A16)</f>
        <v>116390</v>
      </c>
      <c r="K16" s="74">
        <f t="shared" si="1"/>
        <v>7.9755480204403262E-2</v>
      </c>
      <c r="L16" s="75">
        <f t="shared" si="2"/>
        <v>7.6035928143712574</v>
      </c>
      <c r="M16" s="74">
        <f t="shared" si="3"/>
        <v>1.5568862275449102E-2</v>
      </c>
      <c r="N16" s="72">
        <f t="shared" si="4"/>
        <v>488.38461538461536</v>
      </c>
      <c r="O16" s="76">
        <f t="shared" si="5"/>
        <v>9.1660103953378478</v>
      </c>
      <c r="P16" s="77">
        <f>IFERROR(O16/Inputs!$B$10-1,0)</f>
        <v>1.6188601129536706</v>
      </c>
      <c r="Q16" s="78">
        <f>IFERROR(INDEX(Attribution!$H$21:$H$28,MATCH('Media Plan'!C12,Attribution!$A$21:$A$28,0)),0)</f>
        <v>0.16116152450090745</v>
      </c>
      <c r="R16" s="74">
        <f>IFERROR(SUMIFS('Sample Data'!$I$5:$I$244,'Sample Data'!$D$5:$D$244,$A16,'Sample Data'!$C$5:$C$244,1)/SUMIFS('Sample Data'!$H$5:$H$244,'Sample Data'!$D$5:$D$244,$A16,'Sample Data'!$C$5:$C$244,1),0)</f>
        <v>8.172879967226547E-2</v>
      </c>
      <c r="S16" s="74">
        <f>IFERROR(SUMIFS('Sample Data'!$I$5:$I$244,'Sample Data'!$D$5:$D$244,$A16,'Sample Data'!$C$5:$C$244,4)/SUMIFS('Sample Data'!$H$5:$H$244,'Sample Data'!$D$5:$D$244,$A16,'Sample Data'!$C$5:$C$244,4),0)</f>
        <v>8.1085295493528775E-2</v>
      </c>
      <c r="T16" s="77">
        <f t="shared" si="6"/>
        <v>-7.8736526330640544E-3</v>
      </c>
      <c r="U16" s="71" t="str">
        <f>IF(T16&lt;=-Inputs!$B$14,"FATIGUE","")</f>
        <v/>
      </c>
      <c r="V16" s="71" t="str">
        <f>IF(O16&gt;=Inputs!$B$10*Inputs!$B$12,"SCALE",IF(O16&gt;=Inputs!$B$9,"HOLD",IF(OR(C16="TOFU",C16="MOFU"),IF(Q16&gt;=Inputs!$B$13,"KEEP: ASSISTS","CUT"),"FIX")))&amp;IF(U16="FATIGUE"," + REFRESH CREATIVE","")</f>
        <v>SCALE</v>
      </c>
    </row>
    <row r="17" spans="1:22" x14ac:dyDescent="0.3">
      <c r="A17" s="79" t="s">
        <v>679</v>
      </c>
      <c r="B17" s="80"/>
      <c r="C17" s="80"/>
      <c r="D17" s="81">
        <f>SUM(D9:D16)</f>
        <v>250000</v>
      </c>
      <c r="E17" s="81">
        <f>SUM(E9:E16)</f>
        <v>249997</v>
      </c>
      <c r="F17" s="82">
        <f t="shared" si="0"/>
        <v>0.99998799999999999</v>
      </c>
      <c r="G17" s="81">
        <f>SUM(G9:G16)</f>
        <v>3935933</v>
      </c>
      <c r="H17" s="81">
        <f>SUM(H9:H16)</f>
        <v>46257</v>
      </c>
      <c r="I17" s="81">
        <f>SUM(I9:I16)</f>
        <v>219</v>
      </c>
      <c r="J17" s="81">
        <f>SUM(J9:J16)</f>
        <v>1027510</v>
      </c>
      <c r="K17" s="83">
        <f t="shared" si="1"/>
        <v>1.1752486640397589E-2</v>
      </c>
      <c r="L17" s="84">
        <f t="shared" si="2"/>
        <v>5.4045225587478649</v>
      </c>
      <c r="M17" s="83">
        <f t="shared" si="3"/>
        <v>4.7344185744860236E-3</v>
      </c>
      <c r="N17" s="81">
        <f>IFERROR(E17/I17,0)</f>
        <v>1141.538812785388</v>
      </c>
      <c r="O17" s="85">
        <f t="shared" si="5"/>
        <v>4.110089321071853</v>
      </c>
      <c r="P17" s="86">
        <f>IFERROR(O17/Inputs!$B$10-1,0)</f>
        <v>0.17431123459195796</v>
      </c>
      <c r="Q17" s="87"/>
      <c r="R17" s="88"/>
      <c r="S17" s="88"/>
      <c r="T17" s="89"/>
      <c r="U17" s="80"/>
      <c r="V17" s="80"/>
    </row>
    <row r="19" spans="1:22" ht="15.6" x14ac:dyDescent="0.3">
      <c r="A19" s="4" t="s">
        <v>680</v>
      </c>
    </row>
    <row r="20" spans="1:22" ht="26.4" x14ac:dyDescent="0.3">
      <c r="A20" s="17" t="s">
        <v>220</v>
      </c>
      <c r="B20" s="17" t="s">
        <v>221</v>
      </c>
      <c r="C20" s="17" t="s">
        <v>674</v>
      </c>
      <c r="D20" s="17" t="s">
        <v>681</v>
      </c>
      <c r="E20" s="17" t="s">
        <v>682</v>
      </c>
      <c r="F20" s="17" t="s">
        <v>675</v>
      </c>
      <c r="G20" s="17" t="s">
        <v>683</v>
      </c>
      <c r="H20" s="17" t="s">
        <v>684</v>
      </c>
      <c r="I20" s="17" t="s">
        <v>685</v>
      </c>
      <c r="J20" s="17" t="s">
        <v>686</v>
      </c>
      <c r="K20" s="17" t="s">
        <v>687</v>
      </c>
      <c r="L20" s="17" t="s">
        <v>688</v>
      </c>
    </row>
    <row r="21" spans="1:22" x14ac:dyDescent="0.3">
      <c r="A21" s="71" t="str">
        <f t="shared" ref="A21:B28" si="7">A9</f>
        <v>C01</v>
      </c>
      <c r="B21" s="71" t="str">
        <f t="shared" si="7"/>
        <v>TikTok</v>
      </c>
      <c r="C21" s="74">
        <f>IFERROR(SUMIFS('Sample Data'!$I$5:$I$244,'Sample Data'!$D$5:$D$244,$A21,'Sample Data'!$C$5:$C$244,1)/SUMIFS('Sample Data'!$H$5:$H$244,'Sample Data'!$D$5:$D$244,$A21,'Sample Data'!$C$5:$C$244,1),0)</f>
        <v>5.9070443368929139E-3</v>
      </c>
      <c r="D21" s="74">
        <f>IFERROR(SUMIFS('Sample Data'!$I$5:$I$244,'Sample Data'!$D$5:$D$244,$A21,'Sample Data'!$C$5:$C$244,2)/SUMIFS('Sample Data'!$H$5:$H$244,'Sample Data'!$D$5:$D$244,$A21,'Sample Data'!$C$5:$C$244,2),0)</f>
        <v>6.2416793686932027E-3</v>
      </c>
      <c r="E21" s="74">
        <f>IFERROR(SUMIFS('Sample Data'!$I$5:$I$244,'Sample Data'!$D$5:$D$244,$A21,'Sample Data'!$C$5:$C$244,3)/SUMIFS('Sample Data'!$H$5:$H$244,'Sample Data'!$D$5:$D$244,$A21,'Sample Data'!$C$5:$C$244,3),0)</f>
        <v>6.2347730915325679E-3</v>
      </c>
      <c r="F21" s="74">
        <f>IFERROR(SUMIFS('Sample Data'!$I$5:$I$244,'Sample Data'!$D$5:$D$244,$A21,'Sample Data'!$C$5:$C$244,4)/SUMIFS('Sample Data'!$H$5:$H$244,'Sample Data'!$D$5:$D$244,$A21,'Sample Data'!$C$5:$C$244,4),0)</f>
        <v>5.9365850117360482E-3</v>
      </c>
      <c r="G21" s="90">
        <f>IFERROR(SUMIFS('Sample Data'!$G$5:$G$244,'Sample Data'!$D$5:$D$244,$A21,'Sample Data'!$C$5:$C$244,1)/SUMIFS('Sample Data'!$H$5:$H$244,'Sample Data'!$D$5:$D$244,$A21,'Sample Data'!$C$5:$C$244,1)*1000,0)</f>
        <v>29.80446093760137</v>
      </c>
      <c r="H21" s="90">
        <f>IFERROR(SUMIFS('Sample Data'!$G$5:$G$244,'Sample Data'!$D$5:$D$244,$A21,'Sample Data'!$C$5:$C$244,4)/SUMIFS('Sample Data'!$H$5:$H$244,'Sample Data'!$D$5:$D$244,$A21,'Sample Data'!$C$5:$C$244,4)*1000,0)</f>
        <v>30.537922356566135</v>
      </c>
      <c r="I21" s="76">
        <f>IFERROR(SUMIFS('Sample Data'!$L$5:$L$244,'Sample Data'!$D$5:$D$244,$A21,'Sample Data'!$C$5:$C$244,1)/SUMIFS('Sample Data'!$G$5:$G$244,'Sample Data'!$D$5:$D$244,$A21,'Sample Data'!$C$5:$C$244,1),0)</f>
        <v>0.50282977797126682</v>
      </c>
      <c r="J21" s="76">
        <f>IFERROR(SUMIFS('Sample Data'!$L$5:$L$244,'Sample Data'!$D$5:$D$244,$A21,'Sample Data'!$C$5:$C$244,2)/SUMIFS('Sample Data'!$G$5:$G$244,'Sample Data'!$D$5:$D$244,$A21,'Sample Data'!$C$5:$C$244,2),0)</f>
        <v>0</v>
      </c>
      <c r="K21" s="76">
        <f>IFERROR(SUMIFS('Sample Data'!$L$5:$L$244,'Sample Data'!$D$5:$D$244,$A21,'Sample Data'!$C$5:$C$244,3)/SUMIFS('Sample Data'!$G$5:$G$244,'Sample Data'!$D$5:$D$244,$A21,'Sample Data'!$C$5:$C$244,3),0)</f>
        <v>0.52337284723775446</v>
      </c>
      <c r="L21" s="76">
        <f>IFERROR(SUMIFS('Sample Data'!$L$5:$L$244,'Sample Data'!$D$5:$D$244,$A21,'Sample Data'!$C$5:$C$244,4)/SUMIFS('Sample Data'!$G$5:$G$244,'Sample Data'!$D$5:$D$244,$A21,'Sample Data'!$C$5:$C$244,4),0)</f>
        <v>0.41732699418911778</v>
      </c>
    </row>
    <row r="22" spans="1:22" x14ac:dyDescent="0.3">
      <c r="A22" s="71" t="str">
        <f t="shared" si="7"/>
        <v>C02</v>
      </c>
      <c r="B22" s="71" t="str">
        <f t="shared" si="7"/>
        <v>YouTube</v>
      </c>
      <c r="C22" s="74">
        <f>IFERROR(SUMIFS('Sample Data'!$I$5:$I$244,'Sample Data'!$D$5:$D$244,$A22,'Sample Data'!$C$5:$C$244,1)/SUMIFS('Sample Data'!$H$5:$H$244,'Sample Data'!$D$5:$D$244,$A22,'Sample Data'!$C$5:$C$244,1),0)</f>
        <v>2.8888703348083828E-3</v>
      </c>
      <c r="D22" s="74">
        <f>IFERROR(SUMIFS('Sample Data'!$I$5:$I$244,'Sample Data'!$D$5:$D$244,$A22,'Sample Data'!$C$5:$C$244,2)/SUMIFS('Sample Data'!$H$5:$H$244,'Sample Data'!$D$5:$D$244,$A22,'Sample Data'!$C$5:$C$244,2),0)</f>
        <v>2.7104229558217287E-3</v>
      </c>
      <c r="E22" s="74">
        <f>IFERROR(SUMIFS('Sample Data'!$I$5:$I$244,'Sample Data'!$D$5:$D$244,$A22,'Sample Data'!$C$5:$C$244,3)/SUMIFS('Sample Data'!$H$5:$H$244,'Sample Data'!$D$5:$D$244,$A22,'Sample Data'!$C$5:$C$244,3),0)</f>
        <v>2.6972248207047084E-3</v>
      </c>
      <c r="F22" s="74">
        <f>IFERROR(SUMIFS('Sample Data'!$I$5:$I$244,'Sample Data'!$D$5:$D$244,$A22,'Sample Data'!$C$5:$C$244,4)/SUMIFS('Sample Data'!$H$5:$H$244,'Sample Data'!$D$5:$D$244,$A22,'Sample Data'!$C$5:$C$244,4),0)</f>
        <v>2.6034276407516624E-3</v>
      </c>
      <c r="G22" s="90">
        <f>IFERROR(SUMIFS('Sample Data'!$G$5:$G$244,'Sample Data'!$D$5:$D$244,$A22,'Sample Data'!$C$5:$C$244,1)/SUMIFS('Sample Data'!$H$5:$H$244,'Sample Data'!$D$5:$D$244,$A22,'Sample Data'!$C$5:$C$244,1)*1000,0)</f>
        <v>49.027302329464803</v>
      </c>
      <c r="H22" s="90">
        <f>IFERROR(SUMIFS('Sample Data'!$G$5:$G$244,'Sample Data'!$D$5:$D$244,$A22,'Sample Data'!$C$5:$C$244,4)/SUMIFS('Sample Data'!$H$5:$H$244,'Sample Data'!$D$5:$D$244,$A22,'Sample Data'!$C$5:$C$244,4)*1000,0)</f>
        <v>46.047355238318509</v>
      </c>
      <c r="I22" s="76">
        <f>IFERROR(SUMIFS('Sample Data'!$L$5:$L$244,'Sample Data'!$D$5:$D$244,$A22,'Sample Data'!$C$5:$C$244,1)/SUMIFS('Sample Data'!$G$5:$G$244,'Sample Data'!$D$5:$D$244,$A22,'Sample Data'!$C$5:$C$244,1),0)</f>
        <v>1.8528610354223434</v>
      </c>
      <c r="J22" s="76">
        <f>IFERROR(SUMIFS('Sample Data'!$L$5:$L$244,'Sample Data'!$D$5:$D$244,$A22,'Sample Data'!$C$5:$C$244,2)/SUMIFS('Sample Data'!$G$5:$G$244,'Sample Data'!$D$5:$D$244,$A22,'Sample Data'!$C$5:$C$244,2),0)</f>
        <v>0</v>
      </c>
      <c r="K22" s="76">
        <f>IFERROR(SUMIFS('Sample Data'!$L$5:$L$244,'Sample Data'!$D$5:$D$244,$A22,'Sample Data'!$C$5:$C$244,3)/SUMIFS('Sample Data'!$G$5:$G$244,'Sample Data'!$D$5:$D$244,$A22,'Sample Data'!$C$5:$C$244,3),0)</f>
        <v>0</v>
      </c>
      <c r="L22" s="76">
        <f>IFERROR(SUMIFS('Sample Data'!$L$5:$L$244,'Sample Data'!$D$5:$D$244,$A22,'Sample Data'!$C$5:$C$244,4)/SUMIFS('Sample Data'!$G$5:$G$244,'Sample Data'!$D$5:$D$244,$A22,'Sample Data'!$C$5:$C$244,4),0)</f>
        <v>1.5353697749196142</v>
      </c>
    </row>
    <row r="23" spans="1:22" x14ac:dyDescent="0.3">
      <c r="A23" s="71" t="str">
        <f t="shared" si="7"/>
        <v>C03</v>
      </c>
      <c r="B23" s="71" t="str">
        <f t="shared" si="7"/>
        <v>Snapchat</v>
      </c>
      <c r="C23" s="74">
        <f>IFERROR(SUMIFS('Sample Data'!$I$5:$I$244,'Sample Data'!$D$5:$D$244,$A23,'Sample Data'!$C$5:$C$244,1)/SUMIFS('Sample Data'!$H$5:$H$244,'Sample Data'!$D$5:$D$244,$A23,'Sample Data'!$C$5:$C$244,1),0)</f>
        <v>5.3483959225100394E-3</v>
      </c>
      <c r="D23" s="74">
        <f>IFERROR(SUMIFS('Sample Data'!$I$5:$I$244,'Sample Data'!$D$5:$D$244,$A23,'Sample Data'!$C$5:$C$244,2)/SUMIFS('Sample Data'!$H$5:$H$244,'Sample Data'!$D$5:$D$244,$A23,'Sample Data'!$C$5:$C$244,2),0)</f>
        <v>5.194958778213272E-3</v>
      </c>
      <c r="E23" s="74">
        <f>IFERROR(SUMIFS('Sample Data'!$I$5:$I$244,'Sample Data'!$D$5:$D$244,$A23,'Sample Data'!$C$5:$C$244,3)/SUMIFS('Sample Data'!$H$5:$H$244,'Sample Data'!$D$5:$D$244,$A23,'Sample Data'!$C$5:$C$244,3),0)</f>
        <v>5.2031470068448294E-3</v>
      </c>
      <c r="F23" s="74">
        <f>IFERROR(SUMIFS('Sample Data'!$I$5:$I$244,'Sample Data'!$D$5:$D$244,$A23,'Sample Data'!$C$5:$C$244,4)/SUMIFS('Sample Data'!$H$5:$H$244,'Sample Data'!$D$5:$D$244,$A23,'Sample Data'!$C$5:$C$244,4),0)</f>
        <v>5.3584242611209101E-3</v>
      </c>
      <c r="G23" s="90">
        <f>IFERROR(SUMIFS('Sample Data'!$G$5:$G$244,'Sample Data'!$D$5:$D$244,$A23,'Sample Data'!$C$5:$C$244,1)/SUMIFS('Sample Data'!$H$5:$H$244,'Sample Data'!$D$5:$D$244,$A23,'Sample Data'!$C$5:$C$244,1)*1000,0)</f>
        <v>24.915052292484887</v>
      </c>
      <c r="H23" s="90">
        <f>IFERROR(SUMIFS('Sample Data'!$G$5:$G$244,'Sample Data'!$D$5:$D$244,$A23,'Sample Data'!$C$5:$C$244,4)/SUMIFS('Sample Data'!$H$5:$H$244,'Sample Data'!$D$5:$D$244,$A23,'Sample Data'!$C$5:$C$244,4)*1000,0)</f>
        <v>25.497783530390112</v>
      </c>
      <c r="I23" s="76">
        <f>IFERROR(SUMIFS('Sample Data'!$L$5:$L$244,'Sample Data'!$D$5:$D$244,$A23,'Sample Data'!$C$5:$C$244,1)/SUMIFS('Sample Data'!$G$5:$G$244,'Sample Data'!$D$5:$D$244,$A23,'Sample Data'!$C$5:$C$244,1),0)</f>
        <v>0</v>
      </c>
      <c r="J23" s="76">
        <f>IFERROR(SUMIFS('Sample Data'!$L$5:$L$244,'Sample Data'!$D$5:$D$244,$A23,'Sample Data'!$C$5:$C$244,2)/SUMIFS('Sample Data'!$G$5:$G$244,'Sample Data'!$D$5:$D$244,$A23,'Sample Data'!$C$5:$C$244,2),0)</f>
        <v>3.0872252747252746</v>
      </c>
      <c r="K23" s="76">
        <f>IFERROR(SUMIFS('Sample Data'!$L$5:$L$244,'Sample Data'!$D$5:$D$244,$A23,'Sample Data'!$C$5:$C$244,3)/SUMIFS('Sample Data'!$G$5:$G$244,'Sample Data'!$D$5:$D$244,$A23,'Sample Data'!$C$5:$C$244,3),0)</f>
        <v>0</v>
      </c>
      <c r="L23" s="76">
        <f>IFERROR(SUMIFS('Sample Data'!$L$5:$L$244,'Sample Data'!$D$5:$D$244,$A23,'Sample Data'!$C$5:$C$244,4)/SUMIFS('Sample Data'!$G$5:$G$244,'Sample Data'!$D$5:$D$244,$A23,'Sample Data'!$C$5:$C$244,4),0)</f>
        <v>0</v>
      </c>
    </row>
    <row r="24" spans="1:22" x14ac:dyDescent="0.3">
      <c r="A24" s="71" t="str">
        <f t="shared" si="7"/>
        <v>C04</v>
      </c>
      <c r="B24" s="71" t="str">
        <f t="shared" si="7"/>
        <v>Meta</v>
      </c>
      <c r="C24" s="74">
        <f>IFERROR(SUMIFS('Sample Data'!$I$5:$I$244,'Sample Data'!$D$5:$D$244,$A24,'Sample Data'!$C$5:$C$244,1)/SUMIFS('Sample Data'!$H$5:$H$244,'Sample Data'!$D$5:$D$244,$A24,'Sample Data'!$C$5:$C$244,1),0)</f>
        <v>1.346892234658972E-2</v>
      </c>
      <c r="D24" s="74">
        <f>IFERROR(SUMIFS('Sample Data'!$I$5:$I$244,'Sample Data'!$D$5:$D$244,$A24,'Sample Data'!$C$5:$C$244,2)/SUMIFS('Sample Data'!$H$5:$H$244,'Sample Data'!$D$5:$D$244,$A24,'Sample Data'!$C$5:$C$244,2),0)</f>
        <v>1.3968844823062949E-2</v>
      </c>
      <c r="E24" s="74">
        <f>IFERROR(SUMIFS('Sample Data'!$I$5:$I$244,'Sample Data'!$D$5:$D$244,$A24,'Sample Data'!$C$5:$C$244,3)/SUMIFS('Sample Data'!$H$5:$H$244,'Sample Data'!$D$5:$D$244,$A24,'Sample Data'!$C$5:$C$244,3),0)</f>
        <v>1.1987699752986842E-2</v>
      </c>
      <c r="F24" s="74">
        <f>IFERROR(SUMIFS('Sample Data'!$I$5:$I$244,'Sample Data'!$D$5:$D$244,$A24,'Sample Data'!$C$5:$C$244,4)/SUMIFS('Sample Data'!$H$5:$H$244,'Sample Data'!$D$5:$D$244,$A24,'Sample Data'!$C$5:$C$244,4),0)</f>
        <v>8.903383109538459E-3</v>
      </c>
      <c r="G24" s="90">
        <f>IFERROR(SUMIFS('Sample Data'!$G$5:$G$244,'Sample Data'!$D$5:$D$244,$A24,'Sample Data'!$C$5:$C$244,1)/SUMIFS('Sample Data'!$H$5:$H$244,'Sample Data'!$D$5:$D$244,$A24,'Sample Data'!$C$5:$C$244,1)*1000,0)</f>
        <v>54.6529216019361</v>
      </c>
      <c r="H24" s="90">
        <f>IFERROR(SUMIFS('Sample Data'!$G$5:$G$244,'Sample Data'!$D$5:$D$244,$A24,'Sample Data'!$C$5:$C$244,4)/SUMIFS('Sample Data'!$H$5:$H$244,'Sample Data'!$D$5:$D$244,$A24,'Sample Data'!$C$5:$C$244,4)*1000,0)</f>
        <v>64.497814864204713</v>
      </c>
      <c r="I24" s="76">
        <f>IFERROR(SUMIFS('Sample Data'!$L$5:$L$244,'Sample Data'!$D$5:$D$244,$A24,'Sample Data'!$C$5:$C$244,1)/SUMIFS('Sample Data'!$G$5:$G$244,'Sample Data'!$D$5:$D$244,$A24,'Sample Data'!$C$5:$C$244,1),0)</f>
        <v>4.3600442816997358</v>
      </c>
      <c r="J24" s="76">
        <f>IFERROR(SUMIFS('Sample Data'!$L$5:$L$244,'Sample Data'!$D$5:$D$244,$A24,'Sample Data'!$C$5:$C$244,2)/SUMIFS('Sample Data'!$G$5:$G$244,'Sample Data'!$D$5:$D$244,$A24,'Sample Data'!$C$5:$C$244,2),0)</f>
        <v>4.3208358942839586</v>
      </c>
      <c r="K24" s="76">
        <f>IFERROR(SUMIFS('Sample Data'!$L$5:$L$244,'Sample Data'!$D$5:$D$244,$A24,'Sample Data'!$C$5:$C$244,3)/SUMIFS('Sample Data'!$G$5:$G$244,'Sample Data'!$D$5:$D$244,$A24,'Sample Data'!$C$5:$C$244,3),0)</f>
        <v>1.9041233657391887</v>
      </c>
      <c r="L24" s="76">
        <f>IFERROR(SUMIFS('Sample Data'!$L$5:$L$244,'Sample Data'!$D$5:$D$244,$A24,'Sample Data'!$C$5:$C$244,4)/SUMIFS('Sample Data'!$G$5:$G$244,'Sample Data'!$D$5:$D$244,$A24,'Sample Data'!$C$5:$C$244,4),0)</f>
        <v>2.2592971682019787</v>
      </c>
    </row>
    <row r="25" spans="1:22" x14ac:dyDescent="0.3">
      <c r="A25" s="71" t="str">
        <f t="shared" si="7"/>
        <v>C05</v>
      </c>
      <c r="B25" s="71" t="str">
        <f t="shared" si="7"/>
        <v>Google Search</v>
      </c>
      <c r="C25" s="74">
        <f>IFERROR(SUMIFS('Sample Data'!$I$5:$I$244,'Sample Data'!$D$5:$D$244,$A25,'Sample Data'!$C$5:$C$244,1)/SUMIFS('Sample Data'!$H$5:$H$244,'Sample Data'!$D$5:$D$244,$A25,'Sample Data'!$C$5:$C$244,1),0)</f>
        <v>6.4031666569648996E-2</v>
      </c>
      <c r="D25" s="74">
        <f>IFERROR(SUMIFS('Sample Data'!$I$5:$I$244,'Sample Data'!$D$5:$D$244,$A25,'Sample Data'!$C$5:$C$244,2)/SUMIFS('Sample Data'!$H$5:$H$244,'Sample Data'!$D$5:$D$244,$A25,'Sample Data'!$C$5:$C$244,2),0)</f>
        <v>6.4308495216004638E-2</v>
      </c>
      <c r="E25" s="74">
        <f>IFERROR(SUMIFS('Sample Data'!$I$5:$I$244,'Sample Data'!$D$5:$D$244,$A25,'Sample Data'!$C$5:$C$244,3)/SUMIFS('Sample Data'!$H$5:$H$244,'Sample Data'!$D$5:$D$244,$A25,'Sample Data'!$C$5:$C$244,3),0)</f>
        <v>6.0299140266164175E-2</v>
      </c>
      <c r="F25" s="74">
        <f>IFERROR(SUMIFS('Sample Data'!$I$5:$I$244,'Sample Data'!$D$5:$D$244,$A25,'Sample Data'!$C$5:$C$244,4)/SUMIFS('Sample Data'!$H$5:$H$244,'Sample Data'!$D$5:$D$244,$A25,'Sample Data'!$C$5:$C$244,4),0)</f>
        <v>6.326238005955663E-2</v>
      </c>
      <c r="G25" s="90">
        <f>IFERROR(SUMIFS('Sample Data'!$G$5:$G$244,'Sample Data'!$D$5:$D$244,$A25,'Sample Data'!$C$5:$C$244,1)/SUMIFS('Sample Data'!$H$5:$H$244,'Sample Data'!$D$5:$D$244,$A25,'Sample Data'!$C$5:$C$244,1)*1000,0)</f>
        <v>362.24460096629605</v>
      </c>
      <c r="H25" s="90">
        <f>IFERROR(SUMIFS('Sample Data'!$G$5:$G$244,'Sample Data'!$D$5:$D$244,$A25,'Sample Data'!$C$5:$C$244,4)/SUMIFS('Sample Data'!$H$5:$H$244,'Sample Data'!$D$5:$D$244,$A25,'Sample Data'!$C$5:$C$244,4)*1000,0)</f>
        <v>352.97231719422081</v>
      </c>
      <c r="I25" s="76">
        <f>IFERROR(SUMIFS('Sample Data'!$L$5:$L$244,'Sample Data'!$D$5:$D$244,$A25,'Sample Data'!$C$5:$C$244,1)/SUMIFS('Sample Data'!$G$5:$G$244,'Sample Data'!$D$5:$D$244,$A25,'Sample Data'!$C$5:$C$244,1),0)</f>
        <v>5.30933633295838</v>
      </c>
      <c r="J25" s="76">
        <f>IFERROR(SUMIFS('Sample Data'!$L$5:$L$244,'Sample Data'!$D$5:$D$244,$A25,'Sample Data'!$C$5:$C$244,2)/SUMIFS('Sample Data'!$G$5:$G$244,'Sample Data'!$D$5:$D$244,$A25,'Sample Data'!$C$5:$C$244,2),0)</f>
        <v>7.8242005463602764</v>
      </c>
      <c r="K25" s="76">
        <f>IFERROR(SUMIFS('Sample Data'!$L$5:$L$244,'Sample Data'!$D$5:$D$244,$A25,'Sample Data'!$C$5:$C$244,3)/SUMIFS('Sample Data'!$G$5:$G$244,'Sample Data'!$D$5:$D$244,$A25,'Sample Data'!$C$5:$C$244,3),0)</f>
        <v>8.242005463602764</v>
      </c>
      <c r="L25" s="76">
        <f>IFERROR(SUMIFS('Sample Data'!$L$5:$L$244,'Sample Data'!$D$5:$D$244,$A25,'Sample Data'!$C$5:$C$244,4)/SUMIFS('Sample Data'!$G$5:$G$244,'Sample Data'!$D$5:$D$244,$A25,'Sample Data'!$C$5:$C$244,4),0)</f>
        <v>7.5871766029246341</v>
      </c>
    </row>
    <row r="26" spans="1:22" x14ac:dyDescent="0.3">
      <c r="A26" s="71" t="str">
        <f t="shared" si="7"/>
        <v>C06</v>
      </c>
      <c r="B26" s="71" t="str">
        <f t="shared" si="7"/>
        <v>Google PMax</v>
      </c>
      <c r="C26" s="74">
        <f>IFERROR(SUMIFS('Sample Data'!$I$5:$I$244,'Sample Data'!$D$5:$D$244,$A26,'Sample Data'!$C$5:$C$244,1)/SUMIFS('Sample Data'!$H$5:$H$244,'Sample Data'!$D$5:$D$244,$A26,'Sample Data'!$C$5:$C$244,1),0)</f>
        <v>1.4619559198139329E-2</v>
      </c>
      <c r="D26" s="74">
        <f>IFERROR(SUMIFS('Sample Data'!$I$5:$I$244,'Sample Data'!$D$5:$D$244,$A26,'Sample Data'!$C$5:$C$244,2)/SUMIFS('Sample Data'!$H$5:$H$244,'Sample Data'!$D$5:$D$244,$A26,'Sample Data'!$C$5:$C$244,2),0)</f>
        <v>1.5481078681611363E-2</v>
      </c>
      <c r="E26" s="74">
        <f>IFERROR(SUMIFS('Sample Data'!$I$5:$I$244,'Sample Data'!$D$5:$D$244,$A26,'Sample Data'!$C$5:$C$244,3)/SUMIFS('Sample Data'!$H$5:$H$244,'Sample Data'!$D$5:$D$244,$A26,'Sample Data'!$C$5:$C$244,3),0)</f>
        <v>1.5084644100874641E-2</v>
      </c>
      <c r="F26" s="74">
        <f>IFERROR(SUMIFS('Sample Data'!$I$5:$I$244,'Sample Data'!$D$5:$D$244,$A26,'Sample Data'!$C$5:$C$244,4)/SUMIFS('Sample Data'!$H$5:$H$244,'Sample Data'!$D$5:$D$244,$A26,'Sample Data'!$C$5:$C$244,4),0)</f>
        <v>1.4695348281924939E-2</v>
      </c>
      <c r="G26" s="90">
        <f>IFERROR(SUMIFS('Sample Data'!$G$5:$G$244,'Sample Data'!$D$5:$D$244,$A26,'Sample Data'!$C$5:$C$244,1)/SUMIFS('Sample Data'!$H$5:$H$244,'Sample Data'!$D$5:$D$244,$A26,'Sample Data'!$C$5:$C$244,1)*1000,0)</f>
        <v>70.938088381880604</v>
      </c>
      <c r="H26" s="90">
        <f>IFERROR(SUMIFS('Sample Data'!$G$5:$G$244,'Sample Data'!$D$5:$D$244,$A26,'Sample Data'!$C$5:$C$244,4)/SUMIFS('Sample Data'!$H$5:$H$244,'Sample Data'!$D$5:$D$244,$A26,'Sample Data'!$C$5:$C$244,4)*1000,0)</f>
        <v>68.759180070474002</v>
      </c>
      <c r="I26" s="76">
        <f>IFERROR(SUMIFS('Sample Data'!$L$5:$L$244,'Sample Data'!$D$5:$D$244,$A26,'Sample Data'!$C$5:$C$244,1)/SUMIFS('Sample Data'!$G$5:$G$244,'Sample Data'!$D$5:$D$244,$A26,'Sample Data'!$C$5:$C$244,1),0)</f>
        <v>5.5464480874316937</v>
      </c>
      <c r="J26" s="76">
        <f>IFERROR(SUMIFS('Sample Data'!$L$5:$L$244,'Sample Data'!$D$5:$D$244,$A26,'Sample Data'!$C$5:$C$244,2)/SUMIFS('Sample Data'!$G$5:$G$244,'Sample Data'!$D$5:$D$244,$A26,'Sample Data'!$C$5:$C$244,2),0)</f>
        <v>2.8367670364500794</v>
      </c>
      <c r="K26" s="76">
        <f>IFERROR(SUMIFS('Sample Data'!$L$5:$L$244,'Sample Data'!$D$5:$D$244,$A26,'Sample Data'!$C$5:$C$244,3)/SUMIFS('Sample Data'!$G$5:$G$244,'Sample Data'!$D$5:$D$244,$A26,'Sample Data'!$C$5:$C$244,3),0)</f>
        <v>4.7822255790533736</v>
      </c>
      <c r="L26" s="76">
        <f>IFERROR(SUMIFS('Sample Data'!$L$5:$L$244,'Sample Data'!$D$5:$D$244,$A26,'Sample Data'!$C$5:$C$244,4)/SUMIFS('Sample Data'!$G$5:$G$244,'Sample Data'!$D$5:$D$244,$A26,'Sample Data'!$C$5:$C$244,4),0)</f>
        <v>3.1853099021361677</v>
      </c>
    </row>
    <row r="27" spans="1:22" x14ac:dyDescent="0.3">
      <c r="A27" s="71" t="str">
        <f t="shared" si="7"/>
        <v>C07</v>
      </c>
      <c r="B27" s="71" t="str">
        <f t="shared" si="7"/>
        <v>Meta</v>
      </c>
      <c r="C27" s="74">
        <f>IFERROR(SUMIFS('Sample Data'!$I$5:$I$244,'Sample Data'!$D$5:$D$244,$A27,'Sample Data'!$C$5:$C$244,1)/SUMIFS('Sample Data'!$H$5:$H$244,'Sample Data'!$D$5:$D$244,$A27,'Sample Data'!$C$5:$C$244,1),0)</f>
        <v>1.7734159779614324E-2</v>
      </c>
      <c r="D27" s="74">
        <f>IFERROR(SUMIFS('Sample Data'!$I$5:$I$244,'Sample Data'!$D$5:$D$244,$A27,'Sample Data'!$C$5:$C$244,2)/SUMIFS('Sample Data'!$H$5:$H$244,'Sample Data'!$D$5:$D$244,$A27,'Sample Data'!$C$5:$C$244,2),0)</f>
        <v>1.7621059027607633E-2</v>
      </c>
      <c r="E27" s="74">
        <f>IFERROR(SUMIFS('Sample Data'!$I$5:$I$244,'Sample Data'!$D$5:$D$244,$A27,'Sample Data'!$C$5:$C$244,3)/SUMIFS('Sample Data'!$H$5:$H$244,'Sample Data'!$D$5:$D$244,$A27,'Sample Data'!$C$5:$C$244,3),0)</f>
        <v>1.7590806314435662E-2</v>
      </c>
      <c r="F27" s="74">
        <f>IFERROR(SUMIFS('Sample Data'!$I$5:$I$244,'Sample Data'!$D$5:$D$244,$A27,'Sample Data'!$C$5:$C$244,4)/SUMIFS('Sample Data'!$H$5:$H$244,'Sample Data'!$D$5:$D$244,$A27,'Sample Data'!$C$5:$C$244,4),0)</f>
        <v>1.5310028068384792E-2</v>
      </c>
      <c r="G27" s="90">
        <f>IFERROR(SUMIFS('Sample Data'!$G$5:$G$244,'Sample Data'!$D$5:$D$244,$A27,'Sample Data'!$C$5:$C$244,1)/SUMIFS('Sample Data'!$H$5:$H$244,'Sample Data'!$D$5:$D$244,$A27,'Sample Data'!$C$5:$C$244,1)*1000,0)</f>
        <v>84.56726354453626</v>
      </c>
      <c r="H27" s="90">
        <f>IFERROR(SUMIFS('Sample Data'!$G$5:$G$244,'Sample Data'!$D$5:$D$244,$A27,'Sample Data'!$C$5:$C$244,4)/SUMIFS('Sample Data'!$H$5:$H$244,'Sample Data'!$D$5:$D$244,$A27,'Sample Data'!$C$5:$C$244,4)*1000,0)</f>
        <v>101.82991287864981</v>
      </c>
      <c r="I27" s="76">
        <f>IFERROR(SUMIFS('Sample Data'!$L$5:$L$244,'Sample Data'!$D$5:$D$244,$A27,'Sample Data'!$C$5:$C$244,1)/SUMIFS('Sample Data'!$G$5:$G$244,'Sample Data'!$D$5:$D$244,$A27,'Sample Data'!$C$5:$C$244,1),0)</f>
        <v>3.7936884967763826</v>
      </c>
      <c r="J27" s="76">
        <f>IFERROR(SUMIFS('Sample Data'!$L$5:$L$244,'Sample Data'!$D$5:$D$244,$A27,'Sample Data'!$C$5:$C$244,2)/SUMIFS('Sample Data'!$G$5:$G$244,'Sample Data'!$D$5:$D$244,$A27,'Sample Data'!$C$5:$C$244,2),0)</f>
        <v>8.4213476847180182</v>
      </c>
      <c r="K27" s="76">
        <f>IFERROR(SUMIFS('Sample Data'!$L$5:$L$244,'Sample Data'!$D$5:$D$244,$A27,'Sample Data'!$C$5:$C$244,3)/SUMIFS('Sample Data'!$G$5:$G$244,'Sample Data'!$D$5:$D$244,$A27,'Sample Data'!$C$5:$C$244,3),0)</f>
        <v>6.0430939226519333</v>
      </c>
      <c r="L27" s="76">
        <f>IFERROR(SUMIFS('Sample Data'!$L$5:$L$244,'Sample Data'!$D$5:$D$244,$A27,'Sample Data'!$C$5:$C$244,4)/SUMIFS('Sample Data'!$G$5:$G$244,'Sample Data'!$D$5:$D$244,$A27,'Sample Data'!$C$5:$C$244,4),0)</f>
        <v>3.3577948809736888</v>
      </c>
    </row>
    <row r="28" spans="1:22" x14ac:dyDescent="0.3">
      <c r="A28" s="71" t="str">
        <f t="shared" si="7"/>
        <v>C08</v>
      </c>
      <c r="B28" s="71" t="str">
        <f t="shared" si="7"/>
        <v>Email + WhatsApp</v>
      </c>
      <c r="C28" s="74">
        <f>IFERROR(SUMIFS('Sample Data'!$I$5:$I$244,'Sample Data'!$D$5:$D$244,$A28,'Sample Data'!$C$5:$C$244,1)/SUMIFS('Sample Data'!$H$5:$H$244,'Sample Data'!$D$5:$D$244,$A28,'Sample Data'!$C$5:$C$244,1),0)</f>
        <v>8.172879967226547E-2</v>
      </c>
      <c r="D28" s="74">
        <f>IFERROR(SUMIFS('Sample Data'!$I$5:$I$244,'Sample Data'!$D$5:$D$244,$A28,'Sample Data'!$C$5:$C$244,2)/SUMIFS('Sample Data'!$H$5:$H$244,'Sample Data'!$D$5:$D$244,$A28,'Sample Data'!$C$5:$C$244,2),0)</f>
        <v>8.0042462845010612E-2</v>
      </c>
      <c r="E28" s="74">
        <f>IFERROR(SUMIFS('Sample Data'!$I$5:$I$244,'Sample Data'!$D$5:$D$244,$A28,'Sample Data'!$C$5:$C$244,3)/SUMIFS('Sample Data'!$H$5:$H$244,'Sample Data'!$D$5:$D$244,$A28,'Sample Data'!$C$5:$C$244,3),0)</f>
        <v>7.5800567490879614E-2</v>
      </c>
      <c r="F28" s="74">
        <f>IFERROR(SUMIFS('Sample Data'!$I$5:$I$244,'Sample Data'!$D$5:$D$244,$A28,'Sample Data'!$C$5:$C$244,4)/SUMIFS('Sample Data'!$H$5:$H$244,'Sample Data'!$D$5:$D$244,$A28,'Sample Data'!$C$5:$C$244,4),0)</f>
        <v>8.1085295493528775E-2</v>
      </c>
      <c r="G28" s="90">
        <f>IFERROR(SUMIFS('Sample Data'!$G$5:$G$244,'Sample Data'!$D$5:$D$244,$A28,'Sample Data'!$C$5:$C$244,1)/SUMIFS('Sample Data'!$H$5:$H$244,'Sample Data'!$D$5:$D$244,$A28,'Sample Data'!$C$5:$C$244,1)*1000,0)</f>
        <v>618.80376894715278</v>
      </c>
      <c r="H28" s="90">
        <f>IFERROR(SUMIFS('Sample Data'!$G$5:$G$244,'Sample Data'!$D$5:$D$244,$A28,'Sample Data'!$C$5:$C$244,4)/SUMIFS('Sample Data'!$H$5:$H$244,'Sample Data'!$D$5:$D$244,$A28,'Sample Data'!$C$5:$C$244,4)*1000,0)</f>
        <v>604.70918446904716</v>
      </c>
      <c r="I28" s="76">
        <f>IFERROR(SUMIFS('Sample Data'!$L$5:$L$244,'Sample Data'!$D$5:$D$244,$A28,'Sample Data'!$C$5:$C$244,1)/SUMIFS('Sample Data'!$G$5:$G$244,'Sample Data'!$D$5:$D$244,$A28,'Sample Data'!$C$5:$C$244,1),0)</f>
        <v>5.388944058258855</v>
      </c>
      <c r="J28" s="76">
        <f>IFERROR(SUMIFS('Sample Data'!$L$5:$L$244,'Sample Data'!$D$5:$D$244,$A28,'Sample Data'!$C$5:$C$244,2)/SUMIFS('Sample Data'!$G$5:$G$244,'Sample Data'!$D$5:$D$244,$A28,'Sample Data'!$C$5:$C$244,2),0)</f>
        <v>9.1119557705597796</v>
      </c>
      <c r="K28" s="76">
        <f>IFERROR(SUMIFS('Sample Data'!$L$5:$L$244,'Sample Data'!$D$5:$D$244,$A28,'Sample Data'!$C$5:$C$244,3)/SUMIFS('Sample Data'!$G$5:$G$244,'Sample Data'!$D$5:$D$244,$A28,'Sample Data'!$C$5:$C$244,3),0)</f>
        <v>10.767641996557659</v>
      </c>
      <c r="L28" s="76">
        <f>IFERROR(SUMIFS('Sample Data'!$L$5:$L$244,'Sample Data'!$D$5:$D$244,$A28,'Sample Data'!$C$5:$C$244,4)/SUMIFS('Sample Data'!$G$5:$G$244,'Sample Data'!$D$5:$D$244,$A28,'Sample Data'!$C$5:$C$244,4),0)</f>
        <v>10.948942753996906</v>
      </c>
    </row>
  </sheetData>
  <conditionalFormatting sqref="U9:U16">
    <cfRule type="cellIs" dxfId="4" priority="6" operator="equal">
      <formula>"FATIGUE"</formula>
    </cfRule>
  </conditionalFormatting>
  <conditionalFormatting sqref="V9:V16">
    <cfRule type="expression" dxfId="3" priority="2">
      <formula>LEFT(V9,5)="SCALE"</formula>
    </cfRule>
    <cfRule type="expression" dxfId="2" priority="3">
      <formula>LEFT(V9,4)="HOLD"</formula>
    </cfRule>
    <cfRule type="expression" dxfId="1" priority="4">
      <formula>LEFT(V9,4)="KEEP"</formula>
    </cfRule>
    <cfRule type="expression" dxfId="0" priority="5">
      <formula>OR(LEFT(V9,3)="CUT",LEFT(V9,3)="FIX")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58A3"/>
  </sheetPr>
  <dimension ref="A1:J39"/>
  <sheetViews>
    <sheetView showGridLines="0" tabSelected="1" zoomScaleNormal="100" workbookViewId="0">
      <selection activeCell="G9" sqref="G9"/>
    </sheetView>
  </sheetViews>
  <sheetFormatPr defaultColWidth="8.6640625" defaultRowHeight="14.4" x14ac:dyDescent="0.3"/>
  <cols>
    <col min="1" max="1" width="24" customWidth="1"/>
    <col min="2" max="2" width="30" customWidth="1"/>
    <col min="3" max="3" width="46" customWidth="1"/>
    <col min="4" max="4" width="48" customWidth="1"/>
    <col min="5" max="5" width="52" customWidth="1"/>
    <col min="6" max="8" width="14" customWidth="1"/>
    <col min="9" max="9" width="16" customWidth="1"/>
    <col min="10" max="10" width="18" customWidth="1"/>
  </cols>
  <sheetData>
    <row r="1" spans="1:10" ht="21" x14ac:dyDescent="0.4">
      <c r="A1" s="15" t="s">
        <v>689</v>
      </c>
    </row>
    <row r="2" spans="1:10" x14ac:dyDescent="0.3">
      <c r="A2" s="16" t="s">
        <v>690</v>
      </c>
    </row>
    <row r="4" spans="1:10" ht="15.6" x14ac:dyDescent="0.3">
      <c r="A4" s="4" t="s">
        <v>691</v>
      </c>
    </row>
    <row r="5" spans="1:10" x14ac:dyDescent="0.3">
      <c r="A5" s="17" t="s">
        <v>367</v>
      </c>
      <c r="B5" s="17" t="s">
        <v>368</v>
      </c>
      <c r="C5" s="17" t="s">
        <v>692</v>
      </c>
      <c r="D5" s="17" t="s">
        <v>693</v>
      </c>
      <c r="E5" s="17" t="s">
        <v>694</v>
      </c>
    </row>
    <row r="6" spans="1:10" ht="33.75" customHeight="1" x14ac:dyDescent="0.3">
      <c r="A6" s="6">
        <v>1</v>
      </c>
      <c r="B6" s="6" t="s">
        <v>695</v>
      </c>
      <c r="C6" s="6" t="str">
        <f>"ROAS "&amp;TEXT(Dashboard!O13,"0.0")&amp;"x vs target "&amp;TEXT(Inputs!$B$10,"0.0")&amp;"x; spent "&amp;TEXT(Dashboard!F13,"0%")&amp;" of plan"</f>
        <v>ROAS 7.3x vs target 3.5x; spent 97% of plan</v>
      </c>
      <c r="D6" s="6" t="s">
        <v>696</v>
      </c>
      <c r="E6" s="6" t="s">
        <v>697</v>
      </c>
    </row>
    <row r="7" spans="1:10" ht="33.75" customHeight="1" x14ac:dyDescent="0.3">
      <c r="A7" s="6">
        <v>2</v>
      </c>
      <c r="B7" s="6" t="s">
        <v>698</v>
      </c>
      <c r="C7" s="6" t="str">
        <f>"CTR "&amp;TEXT(Dashboard!R12,"0.00%")&amp;" in W1 to "&amp;TEXT(Dashboard!S12,"0.00%")&amp;" in W4 ("&amp;TEXT(Dashboard!T12,"+0%;-0%")&amp;")"</f>
        <v>CTR 1.35% in W1 to 0.89% in W4 (-34%)</v>
      </c>
      <c r="D7" s="6" t="s">
        <v>699</v>
      </c>
      <c r="E7" s="6" t="s">
        <v>700</v>
      </c>
    </row>
    <row r="8" spans="1:10" ht="33.75" customHeight="1" x14ac:dyDescent="0.3">
      <c r="A8" s="6">
        <v>3</v>
      </c>
      <c r="B8" s="6" t="s">
        <v>701</v>
      </c>
      <c r="C8" s="6" t="str">
        <f>"ROAS "&amp;TEXT(Dashboard!O10,"0.00")&amp;"x; position-based share "&amp;TEXT(Dashboard!Q10,"0.0%")</f>
        <v>ROAS 0.88x; position-based share 3.7%</v>
      </c>
      <c r="D8" s="6" t="s">
        <v>702</v>
      </c>
      <c r="E8" s="6" t="s">
        <v>703</v>
      </c>
    </row>
    <row r="9" spans="1:10" ht="33.75" customHeight="1" x14ac:dyDescent="0.3">
      <c r="A9" s="6">
        <v>4</v>
      </c>
      <c r="B9" s="6" t="s">
        <v>704</v>
      </c>
      <c r="C9" s="6" t="str">
        <f>"ROAS "&amp;TEXT(Dashboard!O11,"0.00")&amp;"x; CVR "&amp;TEXT(Dashboard!M11,"0.00%")&amp;"; assist share "&amp;TEXT(Dashboard!Q11,"0.0%")</f>
        <v>ROAS 0.73x; CVR 0.08%; assist share 3.4%</v>
      </c>
      <c r="D9" s="6" t="s">
        <v>705</v>
      </c>
      <c r="E9" s="6" t="s">
        <v>706</v>
      </c>
    </row>
    <row r="10" spans="1:10" ht="33.75" customHeight="1" x14ac:dyDescent="0.3">
      <c r="A10" s="6">
        <v>5</v>
      </c>
      <c r="B10" s="6" t="s">
        <v>375</v>
      </c>
      <c r="C10" s="6" t="str">
        <f>"Last-click ROAS "&amp;TEXT(Dashboard!O9,"0.00")&amp;"x but "&amp;TEXT(Dashboard!Q9,"0%")&amp;" of position-based credit"</f>
        <v>Last-click ROAS 0.36x but 20% of position-based credit</v>
      </c>
      <c r="D10" s="6" t="s">
        <v>707</v>
      </c>
      <c r="E10" s="6" t="s">
        <v>708</v>
      </c>
    </row>
    <row r="11" spans="1:10" ht="33.75" customHeight="1" x14ac:dyDescent="0.3">
      <c r="A11" s="6">
        <v>6</v>
      </c>
      <c r="B11" s="6" t="s">
        <v>709</v>
      </c>
      <c r="C11" s="6" t="str">
        <f>"ROAS "&amp;TEXT(Dashboard!O16,"0.0")&amp;"x at "&amp;TEXT(Dashboard!D16,"#,##0")&amp;" EGP budget"</f>
        <v>ROAS 9.2x at 12,500 EGP budget</v>
      </c>
      <c r="D11" s="6" t="s">
        <v>764</v>
      </c>
      <c r="E11" s="6" t="s">
        <v>710</v>
      </c>
    </row>
    <row r="12" spans="1:10" ht="33.75" customHeight="1" x14ac:dyDescent="0.3">
      <c r="A12" s="6">
        <v>7</v>
      </c>
      <c r="B12" s="6" t="s">
        <v>711</v>
      </c>
      <c r="C12" s="6" t="str">
        <f>"ROAS "&amp;TEXT(Dashboard!O15,"0.0")&amp;"x but CTR "&amp;TEXT(Dashboard!T15,"+0%;-0%")&amp;" W1 to W4 and CPM "&amp;TEXT(Dashboard!H27/Dashboard!G27-1,"+0%;-0%")</f>
        <v>ROAS 5.3x but CTR -14% W1 to W4 and CPM +20%</v>
      </c>
      <c r="D12" s="6" t="s">
        <v>712</v>
      </c>
      <c r="E12" s="6" t="s">
        <v>713</v>
      </c>
    </row>
    <row r="13" spans="1:10" ht="33.75" customHeight="1" x14ac:dyDescent="0.3">
      <c r="A13" s="6">
        <v>8</v>
      </c>
      <c r="B13" s="6" t="s">
        <v>714</v>
      </c>
      <c r="C13" s="6" t="str">
        <f>"ROAS "&amp;TEXT(Dashboard!O14,"0.0")&amp;"x, above the "&amp;TEXT(Inputs!$B$10,"0.0")&amp;"x target"</f>
        <v>ROAS 4.0x, above the 3.5x target</v>
      </c>
      <c r="D13" s="6" t="s">
        <v>715</v>
      </c>
      <c r="E13" s="6" t="s">
        <v>716</v>
      </c>
    </row>
    <row r="15" spans="1:10" ht="15.6" x14ac:dyDescent="0.3">
      <c r="A15" s="4" t="s">
        <v>717</v>
      </c>
    </row>
    <row r="16" spans="1:10" ht="26.4" x14ac:dyDescent="0.3">
      <c r="A16" s="17" t="s">
        <v>220</v>
      </c>
      <c r="B16" s="17" t="s">
        <v>221</v>
      </c>
      <c r="C16" s="17" t="s">
        <v>718</v>
      </c>
      <c r="D16" s="17" t="s">
        <v>719</v>
      </c>
      <c r="E16" s="17" t="s">
        <v>720</v>
      </c>
      <c r="F16" s="17" t="s">
        <v>721</v>
      </c>
      <c r="G16" s="17" t="s">
        <v>722</v>
      </c>
      <c r="H16" s="17" t="s">
        <v>723</v>
      </c>
      <c r="I16" s="17" t="s">
        <v>724</v>
      </c>
      <c r="J16" s="17" t="s">
        <v>725</v>
      </c>
    </row>
    <row r="17" spans="1:10" x14ac:dyDescent="0.3">
      <c r="A17" s="71" t="str">
        <f>'Media Plan'!A5</f>
        <v>C01</v>
      </c>
      <c r="B17" s="71" t="str">
        <f>'Media Plan'!B5</f>
        <v>TikTok</v>
      </c>
      <c r="C17" s="91">
        <f>'Media Plan'!I5</f>
        <v>0.15</v>
      </c>
      <c r="D17" s="92">
        <v>0.15</v>
      </c>
      <c r="E17" s="72">
        <f>C17*Inputs!$B$5</f>
        <v>37500</v>
      </c>
      <c r="F17" s="72">
        <f>D17*Inputs!$B$5</f>
        <v>37500</v>
      </c>
      <c r="G17" s="93">
        <f t="shared" ref="G17:G24" si="0">F17-E17</f>
        <v>0</v>
      </c>
      <c r="H17" s="94">
        <f>Dashboard!O9</f>
        <v>0.36440084092501751</v>
      </c>
      <c r="I17" s="72">
        <f t="shared" ref="I17:I24" si="1">H17*E17</f>
        <v>13665.031534688156</v>
      </c>
      <c r="J17" s="72">
        <f>H17*(MIN(F17,E17)+MAX(F17-E17,0)*Inputs!$B$15)</f>
        <v>13665.031534688156</v>
      </c>
    </row>
    <row r="18" spans="1:10" x14ac:dyDescent="0.3">
      <c r="A18" s="71" t="str">
        <f>'Media Plan'!A6</f>
        <v>C02</v>
      </c>
      <c r="B18" s="71" t="str">
        <f>'Media Plan'!B6</f>
        <v>YouTube</v>
      </c>
      <c r="C18" s="91">
        <f>'Media Plan'!I6</f>
        <v>0.05</v>
      </c>
      <c r="D18" s="92">
        <v>0</v>
      </c>
      <c r="E18" s="72">
        <f>C18*Inputs!$B$5</f>
        <v>12500</v>
      </c>
      <c r="F18" s="72">
        <f>D18*Inputs!$B$5</f>
        <v>0</v>
      </c>
      <c r="G18" s="93">
        <f t="shared" si="0"/>
        <v>-12500</v>
      </c>
      <c r="H18" s="94">
        <f>Dashboard!O10</f>
        <v>0.88314358001265025</v>
      </c>
      <c r="I18" s="72">
        <f t="shared" si="1"/>
        <v>11039.294750158127</v>
      </c>
      <c r="J18" s="72">
        <f>H18*(MIN(F18,E18)+MAX(F18-E18,0)*Inputs!$B$15)</f>
        <v>0</v>
      </c>
    </row>
    <row r="19" spans="1:10" x14ac:dyDescent="0.3">
      <c r="A19" s="71" t="str">
        <f>'Media Plan'!A7</f>
        <v>C03</v>
      </c>
      <c r="B19" s="71" t="str">
        <f>'Media Plan'!B7</f>
        <v>Snapchat</v>
      </c>
      <c r="C19" s="91">
        <f>'Media Plan'!I7</f>
        <v>0.05</v>
      </c>
      <c r="D19" s="92">
        <v>0</v>
      </c>
      <c r="E19" s="72">
        <f>C19*Inputs!$B$5</f>
        <v>12500</v>
      </c>
      <c r="F19" s="72">
        <f>D19*Inputs!$B$5</f>
        <v>0</v>
      </c>
      <c r="G19" s="93">
        <f t="shared" si="0"/>
        <v>-12500</v>
      </c>
      <c r="H19" s="94">
        <f>Dashboard!O11</f>
        <v>0.72652335542266044</v>
      </c>
      <c r="I19" s="72">
        <f t="shared" si="1"/>
        <v>9081.5419427832549</v>
      </c>
      <c r="J19" s="72">
        <f>H19*(MIN(F19,E19)+MAX(F19-E19,0)*Inputs!$B$15)</f>
        <v>0</v>
      </c>
    </row>
    <row r="20" spans="1:10" x14ac:dyDescent="0.3">
      <c r="A20" s="71" t="str">
        <f>'Media Plan'!A8</f>
        <v>C04</v>
      </c>
      <c r="B20" s="71" t="str">
        <f>'Media Plan'!B8</f>
        <v>Meta</v>
      </c>
      <c r="C20" s="91">
        <f>'Media Plan'!I8</f>
        <v>0.2</v>
      </c>
      <c r="D20" s="92">
        <v>0.17</v>
      </c>
      <c r="E20" s="72">
        <f>C20*Inputs!$B$5</f>
        <v>50000</v>
      </c>
      <c r="F20" s="72">
        <f>D20*Inputs!$B$5</f>
        <v>42500</v>
      </c>
      <c r="G20" s="93">
        <f t="shared" si="0"/>
        <v>-7500</v>
      </c>
      <c r="H20" s="94">
        <f>Dashboard!O12</f>
        <v>3.142460628733482</v>
      </c>
      <c r="I20" s="72">
        <f t="shared" si="1"/>
        <v>157123.03143667409</v>
      </c>
      <c r="J20" s="72">
        <f>H20*(MIN(F20,E20)+MAX(F20-E20,0)*Inputs!$B$15)</f>
        <v>133554.57672117298</v>
      </c>
    </row>
    <row r="21" spans="1:10" x14ac:dyDescent="0.3">
      <c r="A21" s="71" t="str">
        <f>'Media Plan'!A9</f>
        <v>C05</v>
      </c>
      <c r="B21" s="71" t="str">
        <f>'Media Plan'!B9</f>
        <v>Google Search</v>
      </c>
      <c r="C21" s="91">
        <f>'Media Plan'!I9</f>
        <v>0.22</v>
      </c>
      <c r="D21" s="92">
        <v>0.28000000000000003</v>
      </c>
      <c r="E21" s="72">
        <f>C21*Inputs!$B$5</f>
        <v>55000</v>
      </c>
      <c r="F21" s="72">
        <f>D21*Inputs!$B$5</f>
        <v>70000</v>
      </c>
      <c r="G21" s="93">
        <f t="shared" si="0"/>
        <v>15000</v>
      </c>
      <c r="H21" s="94">
        <f>Dashboard!O13</f>
        <v>7.2637795275590555</v>
      </c>
      <c r="I21" s="72">
        <f t="shared" si="1"/>
        <v>399507.87401574804</v>
      </c>
      <c r="J21" s="72">
        <f>H21*(MIN(F21,E21)+MAX(F21-E21,0)*Inputs!$B$15)</f>
        <v>492121.06299212604</v>
      </c>
    </row>
    <row r="22" spans="1:10" x14ac:dyDescent="0.3">
      <c r="A22" s="71" t="str">
        <f>'Media Plan'!A10</f>
        <v>C06</v>
      </c>
      <c r="B22" s="71" t="str">
        <f>'Media Plan'!B10</f>
        <v>Google PMax</v>
      </c>
      <c r="C22" s="91">
        <f>'Media Plan'!I10</f>
        <v>0.13</v>
      </c>
      <c r="D22" s="92">
        <v>0.15</v>
      </c>
      <c r="E22" s="72">
        <f>C22*Inputs!$B$5</f>
        <v>32500</v>
      </c>
      <c r="F22" s="72">
        <f>D22*Inputs!$B$5</f>
        <v>37500</v>
      </c>
      <c r="G22" s="93">
        <f t="shared" si="0"/>
        <v>5000</v>
      </c>
      <c r="H22" s="94">
        <f>Dashboard!O14</f>
        <v>4.0473933649289098</v>
      </c>
      <c r="I22" s="72">
        <f t="shared" si="1"/>
        <v>131540.28436018957</v>
      </c>
      <c r="J22" s="72">
        <f>H22*(MIN(F22,E22)+MAX(F22-E22,0)*Inputs!$B$15)</f>
        <v>148741.70616113744</v>
      </c>
    </row>
    <row r="23" spans="1:10" x14ac:dyDescent="0.3">
      <c r="A23" s="71" t="str">
        <f>'Media Plan'!A11</f>
        <v>C07</v>
      </c>
      <c r="B23" s="71" t="str">
        <f>'Media Plan'!B11</f>
        <v>Meta</v>
      </c>
      <c r="C23" s="91">
        <f>'Media Plan'!I11</f>
        <v>0.15</v>
      </c>
      <c r="D23" s="92">
        <v>0.15</v>
      </c>
      <c r="E23" s="72">
        <f>C23*Inputs!$B$5</f>
        <v>37500</v>
      </c>
      <c r="F23" s="72">
        <f>D23*Inputs!$B$5</f>
        <v>37500</v>
      </c>
      <c r="G23" s="93">
        <f t="shared" si="0"/>
        <v>0</v>
      </c>
      <c r="H23" s="94">
        <f>Dashboard!O15</f>
        <v>5.2880160067396798</v>
      </c>
      <c r="I23" s="72">
        <f t="shared" si="1"/>
        <v>198300.60025273799</v>
      </c>
      <c r="J23" s="72">
        <f>H23*(MIN(F23,E23)+MAX(F23-E23,0)*Inputs!$B$15)</f>
        <v>198300.60025273799</v>
      </c>
    </row>
    <row r="24" spans="1:10" x14ac:dyDescent="0.3">
      <c r="A24" s="71" t="str">
        <f>'Media Plan'!A12</f>
        <v>C08</v>
      </c>
      <c r="B24" s="71" t="str">
        <f>'Media Plan'!B12</f>
        <v>Email + WhatsApp</v>
      </c>
      <c r="C24" s="91">
        <f>'Media Plan'!I12</f>
        <v>0.05</v>
      </c>
      <c r="D24" s="92">
        <v>0.1</v>
      </c>
      <c r="E24" s="72">
        <f>C24*Inputs!$B$5</f>
        <v>12500</v>
      </c>
      <c r="F24" s="72">
        <f>D24*Inputs!$B$5</f>
        <v>25000</v>
      </c>
      <c r="G24" s="93">
        <f t="shared" si="0"/>
        <v>12500</v>
      </c>
      <c r="H24" s="94">
        <f>Dashboard!O16</f>
        <v>9.1660103953378478</v>
      </c>
      <c r="I24" s="72">
        <f t="shared" si="1"/>
        <v>114575.12994172309</v>
      </c>
      <c r="J24" s="72">
        <f>H24*(MIN(F24,E24)+MAX(F24-E24,0)*Inputs!$B$15)</f>
        <v>211963.99039218773</v>
      </c>
    </row>
    <row r="25" spans="1:10" x14ac:dyDescent="0.3">
      <c r="A25" s="79" t="s">
        <v>679</v>
      </c>
      <c r="B25" s="80"/>
      <c r="C25" s="82">
        <f>SUM(C17:C24)</f>
        <v>1</v>
      </c>
      <c r="D25" s="82">
        <f>SUM(D17:D24)</f>
        <v>1.0000000000000002</v>
      </c>
      <c r="E25" s="81">
        <f>SUM(E17:E24)</f>
        <v>250000</v>
      </c>
      <c r="F25" s="81">
        <f>SUM(F17:F24)</f>
        <v>250000</v>
      </c>
      <c r="G25" s="95">
        <f>SUM(G17:G24)</f>
        <v>0</v>
      </c>
      <c r="H25" s="85">
        <f>IFERROR(I25/E25,0)</f>
        <v>4.1393311529388095</v>
      </c>
      <c r="I25" s="81">
        <f>SUM(I17:I24)</f>
        <v>1034832.7882347023</v>
      </c>
      <c r="J25" s="81">
        <f>SUM(J17:J24)</f>
        <v>1198346.9680540503</v>
      </c>
    </row>
    <row r="27" spans="1:10" x14ac:dyDescent="0.3">
      <c r="A27" s="57" t="s">
        <v>726</v>
      </c>
      <c r="E27" s="96">
        <f>IFERROR(I25/E25,0)</f>
        <v>4.1393311529388095</v>
      </c>
    </row>
    <row r="28" spans="1:10" x14ac:dyDescent="0.3">
      <c r="A28" s="57" t="s">
        <v>727</v>
      </c>
      <c r="E28" s="96">
        <f>IFERROR(J25/F25,0)</f>
        <v>4.7933878722162016</v>
      </c>
    </row>
    <row r="29" spans="1:10" x14ac:dyDescent="0.3">
      <c r="A29" s="57" t="s">
        <v>728</v>
      </c>
      <c r="E29" s="97">
        <f>J25-I25</f>
        <v>163514.17981934804</v>
      </c>
    </row>
    <row r="30" spans="1:10" x14ac:dyDescent="0.3">
      <c r="A30" s="57" t="s">
        <v>729</v>
      </c>
      <c r="E30" s="98" t="str">
        <f>IF(ROUND(D25,4)=1,"OK: 100%","CHECK: recommended shares must sum to 100%")</f>
        <v>OK: 100%</v>
      </c>
    </row>
    <row r="31" spans="1:10" x14ac:dyDescent="0.3">
      <c r="A31" s="16" t="s">
        <v>730</v>
      </c>
    </row>
    <row r="34" spans="1:5" ht="15.6" x14ac:dyDescent="0.3">
      <c r="A34" s="4" t="s">
        <v>731</v>
      </c>
    </row>
    <row r="35" spans="1:5" x14ac:dyDescent="0.3">
      <c r="A35" s="17" t="s">
        <v>367</v>
      </c>
      <c r="B35" s="17" t="s">
        <v>732</v>
      </c>
      <c r="C35" s="17" t="s">
        <v>733</v>
      </c>
      <c r="D35" s="17" t="s">
        <v>437</v>
      </c>
      <c r="E35" s="17" t="s">
        <v>734</v>
      </c>
    </row>
    <row r="36" spans="1:5" ht="33.75" customHeight="1" x14ac:dyDescent="0.3">
      <c r="A36" s="6">
        <v>1</v>
      </c>
      <c r="B36" s="6" t="s">
        <v>735</v>
      </c>
      <c r="C36" s="6" t="s">
        <v>736</v>
      </c>
      <c r="D36" s="6" t="s">
        <v>737</v>
      </c>
      <c r="E36" s="6" t="s">
        <v>738</v>
      </c>
    </row>
    <row r="37" spans="1:5" ht="33.75" customHeight="1" x14ac:dyDescent="0.3">
      <c r="A37" s="6">
        <v>2</v>
      </c>
      <c r="B37" s="6" t="s">
        <v>739</v>
      </c>
      <c r="C37" s="6" t="s">
        <v>740</v>
      </c>
      <c r="D37" s="6" t="s">
        <v>741</v>
      </c>
      <c r="E37" s="6" t="s">
        <v>742</v>
      </c>
    </row>
    <row r="38" spans="1:5" ht="33.75" customHeight="1" x14ac:dyDescent="0.3">
      <c r="A38" s="6">
        <v>3</v>
      </c>
      <c r="B38" s="6" t="s">
        <v>743</v>
      </c>
      <c r="C38" s="6" t="s">
        <v>744</v>
      </c>
      <c r="D38" s="6" t="s">
        <v>745</v>
      </c>
      <c r="E38" s="6" t="s">
        <v>746</v>
      </c>
    </row>
    <row r="39" spans="1:5" ht="33.75" customHeight="1" x14ac:dyDescent="0.3">
      <c r="A39" s="6">
        <v>4</v>
      </c>
      <c r="B39" s="6" t="s">
        <v>747</v>
      </c>
      <c r="C39" s="6" t="s">
        <v>748</v>
      </c>
      <c r="D39" s="6" t="s">
        <v>749</v>
      </c>
      <c r="E39" s="6" t="s">
        <v>738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Inputs</vt:lpstr>
      <vt:lpstr>Funnel &amp; Audiences</vt:lpstr>
      <vt:lpstr>Audience &amp; Retargeting</vt:lpstr>
      <vt:lpstr>Media Plan</vt:lpstr>
      <vt:lpstr>Budget Split</vt:lpstr>
      <vt:lpstr>Creative Testing</vt:lpstr>
      <vt:lpstr>UTM Builder</vt:lpstr>
      <vt:lpstr>Tracking Plan</vt:lpstr>
      <vt:lpstr>Attribution</vt:lpstr>
      <vt:lpstr>Sample Data</vt:lpstr>
      <vt:lpstr>Dashboard</vt:lpstr>
      <vt:lpstr>Optimization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Nopel El-maghraby</cp:lastModifiedBy>
  <cp:revision>1</cp:revision>
  <dcterms:created xsi:type="dcterms:W3CDTF">2026-10-10T08:29:14Z</dcterms:created>
  <dcterms:modified xsi:type="dcterms:W3CDTF">2026-10-14T07:23:21Z</dcterms:modified>
  <dc:language>en-US</dc:language>
</cp:coreProperties>
</file>